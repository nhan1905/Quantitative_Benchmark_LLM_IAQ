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DMIN\Downloads\docx document backup\Rev01\"/>
    </mc:Choice>
  </mc:AlternateContent>
  <xr:revisionPtr revIDLastSave="0" documentId="13_ncr:1_{3FEFBA3E-ACF5-440C-8DD6-41D62879B57F}" xr6:coauthVersionLast="47" xr6:coauthVersionMax="47" xr10:uidLastSave="{00000000-0000-0000-0000-000000000000}"/>
  <bookViews>
    <workbookView xWindow="-108" yWindow="-108" windowWidth="23256" windowHeight="13896" tabRatio="623" xr2:uid="{00000000-000D-0000-FFFF-FFFF00000000}"/>
  </bookViews>
  <sheets>
    <sheet name="ALL CHAPTER" sheetId="2" r:id="rId1"/>
  </sheets>
  <definedNames>
    <definedName name="_xlnm._FilterDatabase" localSheetId="0" hidden="1">'ALL CHAPTER'!$F$3:$F$527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94" i="2" l="1"/>
  <c r="I495" i="2" s="1"/>
  <c r="J494" i="2"/>
  <c r="J495" i="2" s="1"/>
  <c r="K494" i="2"/>
  <c r="K495" i="2" s="1"/>
  <c r="L494" i="2"/>
  <c r="L495" i="2" s="1"/>
  <c r="I497" i="2"/>
  <c r="I498" i="2" s="1"/>
  <c r="J497" i="2"/>
  <c r="J498" i="2" s="1"/>
  <c r="K497" i="2"/>
  <c r="K498" i="2" s="1"/>
  <c r="L497" i="2"/>
  <c r="L498" i="2" s="1"/>
  <c r="I500" i="2"/>
  <c r="I501" i="2" s="1"/>
  <c r="J500" i="2"/>
  <c r="J501" i="2" s="1"/>
  <c r="K500" i="2"/>
  <c r="K501" i="2" s="1"/>
  <c r="L500" i="2"/>
  <c r="L501" i="2" s="1"/>
  <c r="I503" i="2"/>
  <c r="I504" i="2" s="1"/>
  <c r="J503" i="2"/>
  <c r="J504" i="2" s="1"/>
  <c r="K503" i="2"/>
  <c r="K504" i="2" s="1"/>
  <c r="L503" i="2"/>
  <c r="L504" i="2" s="1"/>
  <c r="I506" i="2"/>
  <c r="I507" i="2" s="1"/>
  <c r="J506" i="2"/>
  <c r="J507" i="2" s="1"/>
  <c r="K506" i="2"/>
  <c r="K507" i="2" s="1"/>
  <c r="L506" i="2"/>
  <c r="L507" i="2" s="1"/>
  <c r="I509" i="2"/>
  <c r="I510" i="2" s="1"/>
  <c r="J509" i="2"/>
  <c r="J510" i="2" s="1"/>
  <c r="K509" i="2"/>
  <c r="K510" i="2" s="1"/>
  <c r="L509" i="2"/>
  <c r="L510" i="2" s="1"/>
  <c r="I512" i="2"/>
  <c r="I513" i="2" s="1"/>
  <c r="J512" i="2"/>
  <c r="J513" i="2" s="1"/>
  <c r="K512" i="2"/>
  <c r="K513" i="2" s="1"/>
  <c r="L512" i="2"/>
  <c r="L513" i="2" s="1"/>
  <c r="I515" i="2"/>
  <c r="I516" i="2" s="1"/>
  <c r="J515" i="2"/>
  <c r="J516" i="2" s="1"/>
  <c r="K515" i="2"/>
  <c r="K516" i="2" s="1"/>
  <c r="L515" i="2"/>
  <c r="L516" i="2" s="1"/>
  <c r="I518" i="2"/>
  <c r="I519" i="2" s="1"/>
  <c r="J518" i="2"/>
  <c r="J519" i="2" s="1"/>
  <c r="K518" i="2"/>
  <c r="K519" i="2" s="1"/>
  <c r="L518" i="2"/>
  <c r="L519" i="2" s="1"/>
  <c r="I521" i="2"/>
  <c r="I522" i="2" s="1"/>
  <c r="J521" i="2"/>
  <c r="J522" i="2" s="1"/>
  <c r="K521" i="2"/>
  <c r="K522" i="2" s="1"/>
  <c r="L521" i="2"/>
  <c r="L522" i="2" s="1"/>
  <c r="I524" i="2"/>
  <c r="I525" i="2" s="1"/>
  <c r="J524" i="2"/>
  <c r="J525" i="2" s="1"/>
  <c r="K524" i="2"/>
  <c r="K525" i="2" s="1"/>
  <c r="L524" i="2"/>
  <c r="L525" i="2" s="1"/>
  <c r="I527" i="2"/>
  <c r="I528" i="2" s="1"/>
  <c r="J527" i="2"/>
  <c r="J528" i="2" s="1"/>
  <c r="K527" i="2"/>
  <c r="K528" i="2" s="1"/>
  <c r="L527" i="2"/>
  <c r="L528" i="2" s="1"/>
  <c r="I530" i="2"/>
  <c r="I531" i="2" s="1"/>
  <c r="J530" i="2"/>
  <c r="J531" i="2" s="1"/>
  <c r="K530" i="2"/>
  <c r="K531" i="2" s="1"/>
  <c r="L530" i="2"/>
  <c r="L531" i="2" s="1"/>
  <c r="L484" i="2"/>
  <c r="K484" i="2"/>
  <c r="J484" i="2"/>
  <c r="I484" i="2"/>
  <c r="F484" i="2"/>
  <c r="F489" i="2" s="1"/>
  <c r="H484" i="2"/>
  <c r="H489" i="2" s="1"/>
  <c r="G484" i="2"/>
  <c r="G489" i="2" s="1"/>
  <c r="O479" i="2"/>
  <c r="P479" i="2" s="1"/>
  <c r="M479" i="2"/>
  <c r="N479" i="2" s="1"/>
  <c r="O474" i="2"/>
  <c r="P474" i="2" s="1"/>
  <c r="M474" i="2"/>
  <c r="N474" i="2" s="1"/>
  <c r="O469" i="2"/>
  <c r="P469" i="2" s="1"/>
  <c r="M469" i="2"/>
  <c r="N469" i="2" s="1"/>
  <c r="O464" i="2"/>
  <c r="P464" i="2" s="1"/>
  <c r="M464" i="2"/>
  <c r="N464" i="2" s="1"/>
  <c r="O459" i="2"/>
  <c r="P459" i="2" s="1"/>
  <c r="M459" i="2"/>
  <c r="N459" i="2" s="1"/>
  <c r="O454" i="2"/>
  <c r="P454" i="2" s="1"/>
  <c r="M454" i="2"/>
  <c r="N454" i="2" s="1"/>
  <c r="O449" i="2"/>
  <c r="P449" i="2" s="1"/>
  <c r="M449" i="2"/>
  <c r="N449" i="2" s="1"/>
  <c r="O444" i="2"/>
  <c r="P444" i="2" s="1"/>
  <c r="M444" i="2"/>
  <c r="N444" i="2" s="1"/>
  <c r="O439" i="2"/>
  <c r="P439" i="2" s="1"/>
  <c r="M439" i="2"/>
  <c r="N439" i="2" s="1"/>
  <c r="O434" i="2"/>
  <c r="P434" i="2" s="1"/>
  <c r="M434" i="2"/>
  <c r="N434" i="2" s="1"/>
  <c r="O429" i="2"/>
  <c r="P429" i="2" s="1"/>
  <c r="M429" i="2"/>
  <c r="N429" i="2" s="1"/>
  <c r="O424" i="2"/>
  <c r="P424" i="2" s="1"/>
  <c r="M424" i="2"/>
  <c r="N424" i="2" s="1"/>
  <c r="O419" i="2"/>
  <c r="P419" i="2" s="1"/>
  <c r="M419" i="2"/>
  <c r="N419" i="2" s="1"/>
  <c r="O414" i="2"/>
  <c r="P414" i="2" s="1"/>
  <c r="M414" i="2"/>
  <c r="N414" i="2" s="1"/>
  <c r="O409" i="2"/>
  <c r="P409" i="2" s="1"/>
  <c r="M409" i="2"/>
  <c r="N409" i="2" s="1"/>
  <c r="O404" i="2"/>
  <c r="P404" i="2" s="1"/>
  <c r="M404" i="2"/>
  <c r="N404" i="2" s="1"/>
  <c r="O399" i="2"/>
  <c r="P399" i="2" s="1"/>
  <c r="M399" i="2"/>
  <c r="N399" i="2" s="1"/>
  <c r="O394" i="2"/>
  <c r="P394" i="2" s="1"/>
  <c r="M394" i="2"/>
  <c r="N394" i="2" s="1"/>
  <c r="O389" i="2"/>
  <c r="P389" i="2" s="1"/>
  <c r="M389" i="2"/>
  <c r="N389" i="2" s="1"/>
  <c r="O384" i="2"/>
  <c r="P384" i="2" s="1"/>
  <c r="M384" i="2"/>
  <c r="N384" i="2" s="1"/>
  <c r="O379" i="2"/>
  <c r="P379" i="2" s="1"/>
  <c r="M379" i="2"/>
  <c r="N379" i="2" s="1"/>
  <c r="O374" i="2"/>
  <c r="P374" i="2" s="1"/>
  <c r="M374" i="2"/>
  <c r="N374" i="2" s="1"/>
  <c r="O369" i="2"/>
  <c r="P369" i="2" s="1"/>
  <c r="M369" i="2"/>
  <c r="N369" i="2" s="1"/>
  <c r="O364" i="2"/>
  <c r="P364" i="2" s="1"/>
  <c r="N364" i="2"/>
  <c r="O359" i="2"/>
  <c r="P359" i="2" s="1"/>
  <c r="M359" i="2"/>
  <c r="N359" i="2" s="1"/>
  <c r="O354" i="2"/>
  <c r="P354" i="2" s="1"/>
  <c r="M354" i="2"/>
  <c r="N354" i="2" s="1"/>
  <c r="O349" i="2"/>
  <c r="P349" i="2" s="1"/>
  <c r="M349" i="2"/>
  <c r="N349" i="2" s="1"/>
  <c r="O344" i="2"/>
  <c r="P344" i="2" s="1"/>
  <c r="M344" i="2"/>
  <c r="N344" i="2" s="1"/>
  <c r="O339" i="2"/>
  <c r="P339" i="2" s="1"/>
  <c r="M339" i="2"/>
  <c r="N339" i="2" s="1"/>
  <c r="O334" i="2"/>
  <c r="P334" i="2" s="1"/>
  <c r="M334" i="2"/>
  <c r="N334" i="2" s="1"/>
  <c r="O330" i="2"/>
  <c r="P330" i="2" s="1"/>
  <c r="M329" i="2"/>
  <c r="N329" i="2" s="1"/>
  <c r="O324" i="2"/>
  <c r="P324" i="2" s="1"/>
  <c r="M324" i="2"/>
  <c r="N324" i="2" s="1"/>
  <c r="O319" i="2"/>
  <c r="P319" i="2" s="1"/>
  <c r="M319" i="2"/>
  <c r="N319" i="2" s="1"/>
  <c r="O314" i="2"/>
  <c r="P314" i="2" s="1"/>
  <c r="M314" i="2"/>
  <c r="N314" i="2" s="1"/>
  <c r="O309" i="2"/>
  <c r="P309" i="2" s="1"/>
  <c r="N309" i="2"/>
  <c r="M309" i="2"/>
  <c r="O304" i="2"/>
  <c r="P304" i="2" s="1"/>
  <c r="M304" i="2"/>
  <c r="N304" i="2" s="1"/>
  <c r="O299" i="2"/>
  <c r="P299" i="2" s="1"/>
  <c r="M299" i="2"/>
  <c r="N299" i="2" s="1"/>
  <c r="O294" i="2"/>
  <c r="P294" i="2" s="1"/>
  <c r="M294" i="2"/>
  <c r="N294" i="2" s="1"/>
  <c r="O289" i="2"/>
  <c r="P289" i="2" s="1"/>
  <c r="M289" i="2"/>
  <c r="N289" i="2" s="1"/>
  <c r="O284" i="2"/>
  <c r="P284" i="2" s="1"/>
  <c r="M284" i="2"/>
  <c r="N284" i="2" s="1"/>
  <c r="O279" i="2"/>
  <c r="P279" i="2" s="1"/>
  <c r="M279" i="2"/>
  <c r="N279" i="2" s="1"/>
  <c r="O274" i="2"/>
  <c r="P274" i="2" s="1"/>
  <c r="M274" i="2"/>
  <c r="N274" i="2" s="1"/>
  <c r="O269" i="2"/>
  <c r="P269" i="2" s="1"/>
  <c r="M269" i="2"/>
  <c r="N269" i="2" s="1"/>
  <c r="O264" i="2"/>
  <c r="P264" i="2" s="1"/>
  <c r="M264" i="2"/>
  <c r="N264" i="2" s="1"/>
  <c r="O259" i="2"/>
  <c r="P259" i="2" s="1"/>
  <c r="M259" i="2"/>
  <c r="N259" i="2" s="1"/>
  <c r="O254" i="2"/>
  <c r="P254" i="2" s="1"/>
  <c r="M254" i="2"/>
  <c r="N254" i="2" s="1"/>
  <c r="O249" i="2"/>
  <c r="P249" i="2" s="1"/>
  <c r="M249" i="2"/>
  <c r="N249" i="2" s="1"/>
  <c r="O244" i="2"/>
  <c r="P244" i="2" s="1"/>
  <c r="M244" i="2"/>
  <c r="N244" i="2" s="1"/>
  <c r="O239" i="2"/>
  <c r="P239" i="2" s="1"/>
  <c r="M239" i="2"/>
  <c r="N239" i="2" s="1"/>
  <c r="O234" i="2"/>
  <c r="P234" i="2" s="1"/>
  <c r="M234" i="2"/>
  <c r="N234" i="2" s="1"/>
  <c r="O229" i="2"/>
  <c r="P229" i="2" s="1"/>
  <c r="M229" i="2"/>
  <c r="N229" i="2" s="1"/>
  <c r="O224" i="2"/>
  <c r="P224" i="2" s="1"/>
  <c r="M224" i="2"/>
  <c r="N224" i="2" s="1"/>
  <c r="O219" i="2"/>
  <c r="P219" i="2" s="1"/>
  <c r="M219" i="2"/>
  <c r="N219" i="2" s="1"/>
  <c r="O214" i="2"/>
  <c r="P214" i="2" s="1"/>
  <c r="M214" i="2"/>
  <c r="N214" i="2" s="1"/>
  <c r="O209" i="2"/>
  <c r="P209" i="2" s="1"/>
  <c r="M209" i="2"/>
  <c r="N209" i="2" s="1"/>
  <c r="O204" i="2"/>
  <c r="P204" i="2" s="1"/>
  <c r="M204" i="2"/>
  <c r="N204" i="2" s="1"/>
  <c r="O199" i="2"/>
  <c r="P199" i="2" s="1"/>
  <c r="M199" i="2"/>
  <c r="N199" i="2" s="1"/>
  <c r="O194" i="2"/>
  <c r="P194" i="2" s="1"/>
  <c r="M194" i="2"/>
  <c r="N194" i="2" s="1"/>
  <c r="O189" i="2"/>
  <c r="P189" i="2" s="1"/>
  <c r="M189" i="2"/>
  <c r="N189" i="2" s="1"/>
  <c r="O184" i="2"/>
  <c r="P184" i="2" s="1"/>
  <c r="M184" i="2"/>
  <c r="N184" i="2" s="1"/>
  <c r="O179" i="2"/>
  <c r="P179" i="2" s="1"/>
  <c r="M179" i="2"/>
  <c r="N179" i="2" s="1"/>
  <c r="O174" i="2"/>
  <c r="P174" i="2" s="1"/>
  <c r="M174" i="2"/>
  <c r="N174" i="2" s="1"/>
  <c r="O169" i="2"/>
  <c r="P169" i="2" s="1"/>
  <c r="M169" i="2"/>
  <c r="N169" i="2" s="1"/>
  <c r="O164" i="2"/>
  <c r="P164" i="2" s="1"/>
  <c r="M164" i="2"/>
  <c r="N164" i="2" s="1"/>
  <c r="O159" i="2"/>
  <c r="P159" i="2" s="1"/>
  <c r="M159" i="2"/>
  <c r="N159" i="2" s="1"/>
  <c r="O154" i="2"/>
  <c r="P154" i="2" s="1"/>
  <c r="M154" i="2"/>
  <c r="N154" i="2" s="1"/>
  <c r="O149" i="2"/>
  <c r="P149" i="2" s="1"/>
  <c r="M149" i="2"/>
  <c r="O144" i="2"/>
  <c r="P144" i="2" s="1"/>
  <c r="M144" i="2"/>
  <c r="N144" i="2" s="1"/>
  <c r="O139" i="2"/>
  <c r="P139" i="2" s="1"/>
  <c r="M139" i="2"/>
  <c r="N139" i="2" s="1"/>
  <c r="O134" i="2"/>
  <c r="P134" i="2" s="1"/>
  <c r="M134" i="2"/>
  <c r="N134" i="2" s="1"/>
  <c r="O129" i="2"/>
  <c r="P129" i="2" s="1"/>
  <c r="M129" i="2"/>
  <c r="N129" i="2" s="1"/>
  <c r="O124" i="2"/>
  <c r="P124" i="2" s="1"/>
  <c r="M124" i="2"/>
  <c r="N124" i="2" s="1"/>
  <c r="O119" i="2"/>
  <c r="P119" i="2" s="1"/>
  <c r="M119" i="2"/>
  <c r="N119" i="2" s="1"/>
  <c r="O114" i="2"/>
  <c r="P114" i="2" s="1"/>
  <c r="M114" i="2"/>
  <c r="N114" i="2" s="1"/>
  <c r="O109" i="2"/>
  <c r="P109" i="2" s="1"/>
  <c r="M109" i="2"/>
  <c r="N109" i="2" s="1"/>
  <c r="O104" i="2"/>
  <c r="P104" i="2" s="1"/>
  <c r="M104" i="2"/>
  <c r="N104" i="2" s="1"/>
  <c r="O99" i="2"/>
  <c r="P99" i="2" s="1"/>
  <c r="M99" i="2"/>
  <c r="N99" i="2" s="1"/>
  <c r="O94" i="2"/>
  <c r="P94" i="2" s="1"/>
  <c r="M94" i="2"/>
  <c r="N94" i="2" s="1"/>
  <c r="O89" i="2"/>
  <c r="P89" i="2" s="1"/>
  <c r="M89" i="2"/>
  <c r="N89" i="2" s="1"/>
  <c r="O84" i="2"/>
  <c r="P84" i="2" s="1"/>
  <c r="M84" i="2"/>
  <c r="N84" i="2" s="1"/>
  <c r="O79" i="2"/>
  <c r="P79" i="2" s="1"/>
  <c r="M79" i="2"/>
  <c r="N79" i="2" s="1"/>
  <c r="O74" i="2"/>
  <c r="P74" i="2" s="1"/>
  <c r="M74" i="2"/>
  <c r="N74" i="2" s="1"/>
  <c r="O69" i="2"/>
  <c r="P69" i="2" s="1"/>
  <c r="M69" i="2"/>
  <c r="N69" i="2" s="1"/>
  <c r="O64" i="2"/>
  <c r="P64" i="2" s="1"/>
  <c r="M64" i="2"/>
  <c r="N64" i="2" s="1"/>
  <c r="O59" i="2"/>
  <c r="P59" i="2" s="1"/>
  <c r="M59" i="2"/>
  <c r="N59" i="2" s="1"/>
  <c r="O54" i="2"/>
  <c r="P54" i="2" s="1"/>
  <c r="M54" i="2"/>
  <c r="N54" i="2" s="1"/>
  <c r="O49" i="2"/>
  <c r="P49" i="2" s="1"/>
  <c r="M49" i="2"/>
  <c r="N49" i="2" s="1"/>
  <c r="O44" i="2"/>
  <c r="P44" i="2" s="1"/>
  <c r="M44" i="2"/>
  <c r="N44" i="2" s="1"/>
  <c r="O39" i="2"/>
  <c r="P39" i="2" s="1"/>
  <c r="M39" i="2"/>
  <c r="N39" i="2" s="1"/>
  <c r="O34" i="2"/>
  <c r="P34" i="2" s="1"/>
  <c r="M34" i="2"/>
  <c r="N34" i="2" s="1"/>
  <c r="O29" i="2"/>
  <c r="P29" i="2" s="1"/>
  <c r="M29" i="2"/>
  <c r="N29" i="2" s="1"/>
  <c r="O24" i="2"/>
  <c r="P24" i="2" s="1"/>
  <c r="M24" i="2"/>
  <c r="N24" i="2" s="1"/>
  <c r="O19" i="2"/>
  <c r="P19" i="2" s="1"/>
  <c r="M19" i="2"/>
  <c r="N19" i="2" s="1"/>
  <c r="O14" i="2"/>
  <c r="P14" i="2" s="1"/>
  <c r="M14" i="2"/>
  <c r="N14" i="2" s="1"/>
  <c r="O9" i="2"/>
  <c r="P9" i="2" s="1"/>
  <c r="M9" i="2"/>
  <c r="N9" i="2" s="1"/>
  <c r="O4" i="2"/>
  <c r="P4" i="2" s="1"/>
  <c r="M4" i="2"/>
  <c r="N4" i="2" s="1"/>
  <c r="P485" i="2" l="1"/>
  <c r="N485" i="2"/>
  <c r="R485" i="2"/>
</calcChain>
</file>

<file path=xl/sharedStrings.xml><?xml version="1.0" encoding="utf-8"?>
<sst xmlns="http://schemas.openxmlformats.org/spreadsheetml/2006/main" count="721" uniqueCount="134">
  <si>
    <t>Example 2.1.1</t>
  </si>
  <si>
    <t>Example 2.1.2</t>
  </si>
  <si>
    <t>Example 2.1.3</t>
  </si>
  <si>
    <t>Example 2.2</t>
  </si>
  <si>
    <t>Example 2.3</t>
  </si>
  <si>
    <t>Example 3.3</t>
  </si>
  <si>
    <t>Example 3.4</t>
  </si>
  <si>
    <t>Example 4.1.1</t>
  </si>
  <si>
    <t>Example 4.1.2</t>
  </si>
  <si>
    <t>Example 4.1.3</t>
  </si>
  <si>
    <t>Example 4.2</t>
  </si>
  <si>
    <t>Example 4.3.1</t>
  </si>
  <si>
    <t>Example 4.3.2</t>
  </si>
  <si>
    <t>Example 4.3.3</t>
  </si>
  <si>
    <t>Example 4.4.1</t>
  </si>
  <si>
    <t>Example 4.4.2</t>
  </si>
  <si>
    <t>Example 4.5.1</t>
  </si>
  <si>
    <t>Example 4.5.2</t>
  </si>
  <si>
    <t>Example 5.1.1</t>
  </si>
  <si>
    <t>Example 5.1.2</t>
  </si>
  <si>
    <t>Example 5.2</t>
  </si>
  <si>
    <t>Example 5.3.1</t>
  </si>
  <si>
    <t>Example 5.3.2</t>
  </si>
  <si>
    <t>Example 5.5</t>
  </si>
  <si>
    <t>Example 6.1.1</t>
  </si>
  <si>
    <t>Example 6.1.2</t>
  </si>
  <si>
    <t>Example 6.1.3</t>
  </si>
  <si>
    <t>Example 6.2.1</t>
  </si>
  <si>
    <t>Example 6.2.2</t>
  </si>
  <si>
    <t>Example 6.2.3</t>
  </si>
  <si>
    <t>Example 6.3.1</t>
  </si>
  <si>
    <t>Example 6.3.2</t>
  </si>
  <si>
    <t>Example 6.4</t>
  </si>
  <si>
    <t>Example 6.5.1</t>
  </si>
  <si>
    <t>Example 6.5.2</t>
  </si>
  <si>
    <t>Example 7.2</t>
  </si>
  <si>
    <t>Example 7.3</t>
  </si>
  <si>
    <t>Example 8.1</t>
  </si>
  <si>
    <t>Example 8.2.1</t>
  </si>
  <si>
    <t>Example 8.2.2</t>
  </si>
  <si>
    <t>Example 8.2.3</t>
  </si>
  <si>
    <t>Example 8.3</t>
  </si>
  <si>
    <t>Example 8.4</t>
  </si>
  <si>
    <t>Example 9.1</t>
  </si>
  <si>
    <t>Example 9.2</t>
  </si>
  <si>
    <t>Example 9.4</t>
  </si>
  <si>
    <t>Example 9.5</t>
  </si>
  <si>
    <t>Example 10.1</t>
  </si>
  <si>
    <t>Example 11.1.1</t>
  </si>
  <si>
    <t>Example 11.1.2</t>
  </si>
  <si>
    <t>Example 11.2</t>
  </si>
  <si>
    <t>Example 11.3</t>
  </si>
  <si>
    <t>Example 12.1.1</t>
  </si>
  <si>
    <t>Example 12.1.2</t>
  </si>
  <si>
    <t>Example 12.1.3</t>
  </si>
  <si>
    <t>Example 12.2</t>
  </si>
  <si>
    <t>Example 12.3</t>
  </si>
  <si>
    <t>Example 12.4.1</t>
  </si>
  <si>
    <t>Example 12.4.2</t>
  </si>
  <si>
    <t>Example 12.5</t>
  </si>
  <si>
    <t>Example 13.1.1</t>
  </si>
  <si>
    <t>Example 13.1.2</t>
  </si>
  <si>
    <t>Example 13.2.1</t>
  </si>
  <si>
    <t>Example 13.2.2</t>
  </si>
  <si>
    <t>Example 13.2.3</t>
  </si>
  <si>
    <t>Example 13.3.1</t>
  </si>
  <si>
    <t>Example 13.3.2</t>
  </si>
  <si>
    <t>Example 13.5.1</t>
  </si>
  <si>
    <t>Example 13.5.2</t>
  </si>
  <si>
    <t>Example 13.6</t>
  </si>
  <si>
    <t>Example 14.1.1</t>
  </si>
  <si>
    <t>Example 14.2.1</t>
  </si>
  <si>
    <t>Example 14.2.2</t>
  </si>
  <si>
    <t>Example 14.3</t>
  </si>
  <si>
    <t>Example 14.4</t>
  </si>
  <si>
    <t>Example 14.5.1</t>
  </si>
  <si>
    <t>Example 14.5.2</t>
  </si>
  <si>
    <t>Example 4.6.1</t>
  </si>
  <si>
    <t>Example 4.6.2</t>
  </si>
  <si>
    <t>Trials</t>
  </si>
  <si>
    <t>Example 11.5.1</t>
  </si>
  <si>
    <t>Example 11.5.2</t>
  </si>
  <si>
    <t>Topic</t>
  </si>
  <si>
    <t>Properties of Indoor Air Contaminants</t>
  </si>
  <si>
    <t>Particle Size Statistics and Distribution</t>
  </si>
  <si>
    <t>Mechanics of Particles</t>
  </si>
  <si>
    <t>Gas Properties and Kinetics</t>
  </si>
  <si>
    <t>Diffusion and Coagulation of Particles</t>
  </si>
  <si>
    <t>Impaction</t>
  </si>
  <si>
    <t>Sampling Efficiency</t>
  </si>
  <si>
    <t>Filtration</t>
  </si>
  <si>
    <t>Aerodynamic Air Cleaners</t>
  </si>
  <si>
    <t>Electrostatic Precipitation</t>
  </si>
  <si>
    <t>Control of Gaseous Pollutants</t>
  </si>
  <si>
    <t>%</t>
  </si>
  <si>
    <t>Example 3.1.1</t>
  </si>
  <si>
    <t>Example 3.1.2</t>
  </si>
  <si>
    <t>Example 3.1.3</t>
  </si>
  <si>
    <t>Example 3.2.1</t>
  </si>
  <si>
    <t>Example 3.2.2</t>
  </si>
  <si>
    <t>Example 7.1.1</t>
  </si>
  <si>
    <t>Example 7.1.2</t>
  </si>
  <si>
    <t>Problem 7.7</t>
  </si>
  <si>
    <t>`</t>
  </si>
  <si>
    <t>Problem 9.6</t>
  </si>
  <si>
    <t>Problem 10.1.1</t>
  </si>
  <si>
    <t>Problem 10.1.2</t>
  </si>
  <si>
    <t>Problem 10.1.3</t>
  </si>
  <si>
    <t>Problem 10.1.4</t>
  </si>
  <si>
    <t>Problem 10.1.5</t>
  </si>
  <si>
    <t>Problem 10.3</t>
  </si>
  <si>
    <t>Deposition, Production, and Resuspension of Airborne Particles</t>
  </si>
  <si>
    <t>Ventilation Requirements and Measurement</t>
  </si>
  <si>
    <t>Not understand
[1]</t>
  </si>
  <si>
    <t>Full 
understand
[1]</t>
  </si>
  <si>
    <t>Partial understand
[1]</t>
  </si>
  <si>
    <t>The actual problem content is removed because of copyright.</t>
  </si>
  <si>
    <t>Correct Result 
+ Same Method
[1]</t>
  </si>
  <si>
    <t>Wrong Result 
+ Same Method
[1]</t>
  </si>
  <si>
    <t>Correct Result 
+ Different Method
[1]</t>
  </si>
  <si>
    <t>Wrong Results 
+ Wrong Method
[1]</t>
  </si>
  <si>
    <t>Problem</t>
  </si>
  <si>
    <t>Example / Problem Index</t>
  </si>
  <si>
    <t>Overall 
Consistency</t>
  </si>
  <si>
    <t>True-Answer
Consistency</t>
  </si>
  <si>
    <t>Step-by-Step Reasoning Metric</t>
  </si>
  <si>
    <t>Context Understanding Metric</t>
  </si>
  <si>
    <t>Individual term of 
Overall Consistency calculation</t>
  </si>
  <si>
    <t>Individual term of 
True-Answer Consistency calculation</t>
  </si>
  <si>
    <t>Overall Accurancy</t>
  </si>
  <si>
    <t>Context-Understanding</t>
  </si>
  <si>
    <t>Step-by-Step Reasoning</t>
  </si>
  <si>
    <t>Step-by-Step Reasoning across all the IAQ topics</t>
  </si>
  <si>
    <r>
      <rPr>
        <sz val="12"/>
        <rFont val="Times New Roman"/>
        <family val="1"/>
      </rPr>
      <t xml:space="preserve">Supporting Information 4 of
</t>
    </r>
    <r>
      <rPr>
        <b/>
        <sz val="16"/>
        <rFont val="Times New Roman"/>
        <family val="1"/>
      </rPr>
      <t>Quantitative Reasoning Evaluation of Large Language Model Performances in Indoor Air Quality Engineering</t>
    </r>
    <r>
      <rPr>
        <sz val="12"/>
        <rFont val="Times New Roman"/>
        <family val="1"/>
      </rPr>
      <t xml:space="preserve">
Nhan Dinh Ngo(1,2,*), Aijia Zhou(2), Khang Nguyen Duy Lam(1), Andrew W. Taylor-Robinson(3,4), Kok-Seng Wong(1,5), Thanh H. Nguyen(2).
</t>
    </r>
    <r>
      <rPr>
        <i/>
        <sz val="12"/>
        <rFont val="Times New Roman"/>
        <family val="1"/>
      </rPr>
      <t>(1) VinUni-Illinois Smart Health Center, VinUniversity, Hanoi 100000, Vietnam
(2) Department of Civil &amp; Environmental Engineering, University of Illinois at Urbana−Champaign, Urbana, IL 61801, United States
(3) College of Health Sciences, VinUniversity, Hanoi 100000, Vietnam
(4) Center for Global Health, Perelman School of Medicine, University of Pennsylvania, Philadelphia, PA 19104, USA
(5) College of Engineering and Computer Science, VinUniversity, Hanoi 100000, Vietnam
(*) corresponding author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</si>
</sst>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8"/>
      <name val="Arial"/>
      <family val="2"/>
      <scheme val="minor"/>
    </font>
    <font>
      <sz val="10"/>
      <name val="Arial"/>
      <family val="2"/>
      <scheme val="minor"/>
    </font>
    <font>
      <b/>
      <sz val="10"/>
      <name val="Arial"/>
      <family val="2"/>
      <scheme val="minor"/>
    </font>
    <font>
      <sz val="10"/>
      <color rgb="FF000000"/>
      <name val="Arial"/>
      <family val="2"/>
      <scheme val="minor"/>
    </font>
    <font>
      <sz val="10"/>
      <color theme="1"/>
      <name val="Arial"/>
      <scheme val="minor"/>
    </font>
    <font>
      <sz val="10"/>
      <color theme="1"/>
      <name val="Arial"/>
      <family val="2"/>
      <scheme val="minor"/>
    </font>
    <font>
      <sz val="10"/>
      <color rgb="FFFF0000"/>
      <name val="Arial"/>
      <family val="2"/>
      <scheme val="minor"/>
    </font>
    <font>
      <b/>
      <sz val="10"/>
      <color rgb="FFFF0000"/>
      <name val="Arial"/>
      <family val="2"/>
      <scheme val="minor"/>
    </font>
    <font>
      <b/>
      <sz val="11"/>
      <color rgb="FFFF0000"/>
      <name val="Arial"/>
      <family val="2"/>
      <scheme val="minor"/>
    </font>
    <font>
      <sz val="12"/>
      <name val="Times New Roman"/>
      <family val="1"/>
    </font>
    <font>
      <b/>
      <sz val="16"/>
      <name val="Times New Roman"/>
      <family val="1"/>
    </font>
    <font>
      <sz val="10"/>
      <name val="Times New Roman"/>
      <family val="1"/>
    </font>
    <font>
      <i/>
      <sz val="12"/>
      <name val="Times New Roman"/>
      <family val="1"/>
    </font>
  </fonts>
  <fills count="3">
    <fill>
      <patternFill patternType="none"/>
    </fill>
    <fill>
      <patternFill patternType="gray125"/>
    </fill>
    <fill>
      <patternFill patternType="solid">
        <fgColor theme="0" tint="-4.9989318521683403E-2"/>
        <bgColor indexed="64"/>
      </patternFill>
    </fill>
  </fills>
  <borders count="27">
    <border>
      <left/>
      <right/>
      <top/>
      <bottom/>
      <diagonal/>
    </border>
    <border>
      <left/>
      <right/>
      <top/>
      <bottom style="medium">
        <color indexed="64"/>
      </bottom>
      <diagonal/>
    </border>
    <border>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1">
    <xf numFmtId="0" fontId="0" fillId="0" borderId="0" xfId="0"/>
    <xf numFmtId="0" fontId="3"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3"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2" fillId="2" borderId="7" xfId="0" applyFont="1" applyFill="1" applyBorder="1" applyAlignment="1">
      <alignment horizontal="center" vertical="center" wrapText="1"/>
    </xf>
    <xf numFmtId="0" fontId="2" fillId="0" borderId="6" xfId="0" applyFont="1" applyBorder="1" applyAlignment="1">
      <alignment horizontal="center" vertical="center"/>
    </xf>
    <xf numFmtId="0" fontId="7" fillId="0" borderId="0" xfId="0" applyFont="1" applyAlignment="1">
      <alignment horizontal="center" vertical="center" wrapText="1"/>
    </xf>
    <xf numFmtId="0" fontId="7" fillId="0" borderId="3" xfId="0" applyFont="1" applyBorder="1" applyAlignment="1">
      <alignment horizontal="center" vertical="center"/>
    </xf>
    <xf numFmtId="0" fontId="7" fillId="0" borderId="0" xfId="0" applyFont="1" applyAlignment="1">
      <alignment horizontal="center" vertical="center"/>
    </xf>
    <xf numFmtId="0" fontId="2" fillId="0" borderId="7"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4" fillId="0" borderId="0" xfId="0" applyFont="1" applyAlignment="1">
      <alignment horizontal="center" vertical="center" wrapText="1"/>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2" fillId="0" borderId="8" xfId="0" applyFont="1" applyBorder="1" applyAlignment="1">
      <alignment horizontal="center" vertical="center"/>
    </xf>
    <xf numFmtId="1" fontId="2" fillId="0" borderId="3" xfId="0" applyNumberFormat="1" applyFont="1" applyBorder="1" applyAlignment="1">
      <alignment horizontal="center" vertical="center" wrapText="1"/>
    </xf>
    <xf numFmtId="1" fontId="2" fillId="0" borderId="4" xfId="0" applyNumberFormat="1" applyFont="1" applyBorder="1" applyAlignment="1">
      <alignment horizontal="center" vertical="center" wrapText="1"/>
    </xf>
    <xf numFmtId="1" fontId="2" fillId="0" borderId="5" xfId="0" applyNumberFormat="1" applyFont="1" applyBorder="1" applyAlignment="1">
      <alignment horizontal="center" vertical="center" wrapText="1"/>
    </xf>
    <xf numFmtId="1" fontId="6" fillId="0" borderId="5" xfId="0" applyNumberFormat="1" applyFont="1" applyBorder="1" applyAlignment="1">
      <alignment horizontal="center" vertical="center" wrapText="1"/>
    </xf>
    <xf numFmtId="1" fontId="6" fillId="0" borderId="3" xfId="0" applyNumberFormat="1" applyFont="1" applyBorder="1" applyAlignment="1">
      <alignment horizontal="center" vertical="center" wrapText="1"/>
    </xf>
    <xf numFmtId="1" fontId="6" fillId="0" borderId="4" xfId="0" applyNumberFormat="1" applyFont="1" applyBorder="1" applyAlignment="1">
      <alignment horizontal="center" vertical="center" wrapText="1"/>
    </xf>
    <xf numFmtId="1" fontId="7" fillId="0" borderId="3" xfId="0" applyNumberFormat="1" applyFont="1" applyBorder="1" applyAlignment="1">
      <alignment horizontal="center" vertical="center" wrapText="1"/>
    </xf>
    <xf numFmtId="0" fontId="2" fillId="2" borderId="6" xfId="0" applyFont="1" applyFill="1" applyBorder="1" applyAlignment="1">
      <alignment horizontal="center" vertical="center"/>
    </xf>
    <xf numFmtId="0" fontId="2" fillId="2" borderId="0" xfId="0" applyFont="1" applyFill="1" applyAlignment="1">
      <alignment horizontal="center" vertical="center"/>
    </xf>
    <xf numFmtId="10" fontId="2" fillId="2" borderId="1" xfId="0" applyNumberFormat="1" applyFont="1" applyFill="1" applyBorder="1" applyAlignment="1">
      <alignment horizontal="center" vertical="center"/>
    </xf>
    <xf numFmtId="0" fontId="8" fillId="2" borderId="17"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0" borderId="23" xfId="0" applyFont="1" applyBorder="1" applyAlignment="1">
      <alignment horizontal="center" vertical="center"/>
    </xf>
    <xf numFmtId="10" fontId="2" fillId="2" borderId="18" xfId="0" applyNumberFormat="1" applyFont="1" applyFill="1" applyBorder="1" applyAlignment="1">
      <alignment horizontal="center" vertical="center"/>
    </xf>
    <xf numFmtId="0" fontId="8" fillId="2" borderId="22" xfId="0" applyFont="1" applyFill="1" applyBorder="1" applyAlignment="1">
      <alignment horizontal="center" vertical="center" wrapText="1"/>
    </xf>
    <xf numFmtId="0" fontId="2" fillId="2" borderId="3" xfId="0" applyFont="1" applyFill="1" applyBorder="1" applyAlignment="1">
      <alignment horizontal="center" vertical="center"/>
    </xf>
    <xf numFmtId="10" fontId="2" fillId="2" borderId="4" xfId="0" applyNumberFormat="1" applyFont="1" applyFill="1" applyBorder="1" applyAlignment="1">
      <alignment horizontal="center" vertical="center"/>
    </xf>
    <xf numFmtId="10" fontId="2" fillId="2" borderId="7" xfId="0" applyNumberFormat="1" applyFont="1" applyFill="1" applyBorder="1" applyAlignment="1">
      <alignment horizontal="center" vertical="center"/>
    </xf>
    <xf numFmtId="0" fontId="8" fillId="2" borderId="5" xfId="0" applyFont="1" applyFill="1" applyBorder="1" applyAlignment="1">
      <alignment vertical="center"/>
    </xf>
    <xf numFmtId="0" fontId="8" fillId="2" borderId="2" xfId="0" applyFont="1" applyFill="1" applyBorder="1" applyAlignment="1">
      <alignment vertical="center"/>
    </xf>
    <xf numFmtId="0" fontId="8" fillId="2" borderId="23" xfId="0" applyFont="1" applyFill="1" applyBorder="1" applyAlignment="1">
      <alignment vertical="center"/>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7" fillId="0" borderId="10" xfId="0" applyFont="1" applyBorder="1" applyAlignment="1">
      <alignment horizontal="center" vertical="center" wrapText="1"/>
    </xf>
    <xf numFmtId="0" fontId="6" fillId="0" borderId="15" xfId="0" applyFont="1" applyBorder="1" applyAlignment="1">
      <alignment horizontal="center"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6" fillId="0" borderId="0" xfId="0" applyFont="1" applyAlignment="1">
      <alignment horizontal="center" vertical="center" wrapText="1"/>
    </xf>
    <xf numFmtId="0" fontId="6" fillId="0" borderId="1" xfId="0" applyFont="1" applyBorder="1" applyAlignment="1">
      <alignment horizontal="center" vertical="center" wrapText="1"/>
    </xf>
    <xf numFmtId="0" fontId="5" fillId="0" borderId="15" xfId="0" applyFont="1" applyBorder="1" applyAlignment="1">
      <alignment horizontal="center" vertical="center"/>
    </xf>
    <xf numFmtId="0" fontId="2" fillId="0" borderId="1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xf>
    <xf numFmtId="0" fontId="2" fillId="0" borderId="8" xfId="0" applyFont="1" applyBorder="1" applyAlignment="1">
      <alignment horizontal="center" vertical="center"/>
    </xf>
    <xf numFmtId="0" fontId="2" fillId="0" borderId="14" xfId="0" applyFont="1" applyBorder="1" applyAlignment="1">
      <alignment horizontal="center" vertical="center"/>
    </xf>
    <xf numFmtId="0" fontId="2" fillId="0" borderId="16" xfId="0" applyFont="1" applyBorder="1" applyAlignment="1">
      <alignment horizontal="center" vertical="center"/>
    </xf>
    <xf numFmtId="0" fontId="2" fillId="0" borderId="22" xfId="0" applyFont="1" applyBorder="1" applyAlignment="1">
      <alignment horizontal="center" vertical="center"/>
    </xf>
    <xf numFmtId="0" fontId="2" fillId="0" borderId="18" xfId="0" applyFont="1" applyBorder="1" applyAlignment="1">
      <alignment horizontal="center" vertical="center"/>
    </xf>
    <xf numFmtId="0" fontId="2" fillId="0" borderId="17" xfId="0" applyFont="1" applyBorder="1" applyAlignment="1">
      <alignment horizontal="center" vertical="center"/>
    </xf>
    <xf numFmtId="0" fontId="8" fillId="2" borderId="22"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1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9" fillId="2" borderId="5"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 fillId="2" borderId="25"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4"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 fontId="3" fillId="2" borderId="1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6" xfId="0" applyFont="1" applyFill="1" applyBorder="1" applyAlignment="1">
      <alignment horizontal="center" vertical="center"/>
    </xf>
    <xf numFmtId="0" fontId="8" fillId="0" borderId="22" xfId="0" applyFont="1" applyBorder="1" applyAlignment="1">
      <alignment horizontal="center" vertical="center" wrapText="1"/>
    </xf>
    <xf numFmtId="0" fontId="8" fillId="0" borderId="1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10</xdr:col>
      <xdr:colOff>1127760</xdr:colOff>
      <xdr:row>9</xdr:row>
      <xdr:rowOff>110490</xdr:rowOff>
    </xdr:from>
    <xdr:ext cx="65" cy="162224"/>
    <xdr:sp macro="" textlink="">
      <xdr:nvSpPr>
        <xdr:cNvPr id="2" name="TextBox 1">
          <a:extLst>
            <a:ext uri="{FF2B5EF4-FFF2-40B4-BE49-F238E27FC236}">
              <a16:creationId xmlns:a16="http://schemas.microsoft.com/office/drawing/2014/main" id="{3B29A306-6800-5D7D-6F94-B24D6B153047}"/>
            </a:ext>
          </a:extLst>
        </xdr:cNvPr>
        <xdr:cNvSpPr txBox="1"/>
      </xdr:nvSpPr>
      <xdr:spPr>
        <a:xfrm>
          <a:off x="14965680" y="2145030"/>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13</xdr:col>
      <xdr:colOff>251460</xdr:colOff>
      <xdr:row>2</xdr:row>
      <xdr:rowOff>38101</xdr:rowOff>
    </xdr:from>
    <xdr:ext cx="586740" cy="4399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9EC0A5E-6ACE-581B-711A-1F6575478BFE}"/>
                </a:ext>
              </a:extLst>
            </xdr:cNvPr>
            <xdr:cNvSpPr txBox="1"/>
          </xdr:nvSpPr>
          <xdr:spPr>
            <a:xfrm>
              <a:off x="17586960" y="548641"/>
              <a:ext cx="586740" cy="439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400" i="1">
                            <a:latin typeface="Cambria Math" panose="02040503050406030204" pitchFamily="18" charset="0"/>
                          </a:rPr>
                        </m:ctrlPr>
                      </m:fPr>
                      <m:num>
                        <m:sSub>
                          <m:sSubPr>
                            <m:ctrlPr>
                              <a:rPr lang="en-US" sz="1400" b="0" i="1">
                                <a:latin typeface="Cambria Math" panose="02040503050406030204" pitchFamily="18" charset="0"/>
                              </a:rPr>
                            </m:ctrlPr>
                          </m:sSubPr>
                          <m:e>
                            <m:r>
                              <a:rPr lang="en-US" sz="1400" b="0" i="1">
                                <a:latin typeface="Cambria Math" panose="02040503050406030204" pitchFamily="18" charset="0"/>
                              </a:rPr>
                              <m:t>𝐶</m:t>
                            </m:r>
                          </m:e>
                          <m:sub>
                            <m:r>
                              <a:rPr lang="en-US" sz="1400" b="0" i="1">
                                <a:latin typeface="Cambria Math" panose="02040503050406030204" pitchFamily="18" charset="0"/>
                              </a:rPr>
                              <m:t>𝑖</m:t>
                            </m:r>
                          </m:sub>
                        </m:sSub>
                      </m:num>
                      <m:den>
                        <m:sSub>
                          <m:sSubPr>
                            <m:ctrlPr>
                              <a:rPr lang="en-US" sz="1400" i="1">
                                <a:latin typeface="Cambria Math" panose="02040503050406030204" pitchFamily="18" charset="0"/>
                              </a:rPr>
                            </m:ctrlPr>
                          </m:sSubPr>
                          <m:e>
                            <m:r>
                              <a:rPr lang="en-US" sz="1400" b="0" i="1">
                                <a:latin typeface="Cambria Math" panose="02040503050406030204" pitchFamily="18" charset="0"/>
                              </a:rPr>
                              <m:t>𝑄</m:t>
                            </m:r>
                          </m:e>
                          <m:sub>
                            <m:r>
                              <a:rPr lang="en-US" sz="1400" b="0" i="1">
                                <a:latin typeface="Cambria Math" panose="02040503050406030204" pitchFamily="18" charset="0"/>
                              </a:rPr>
                              <m:t>𝑇</m:t>
                            </m:r>
                          </m:sub>
                        </m:sSub>
                      </m:den>
                    </m:f>
                  </m:oMath>
                </m:oMathPara>
              </a14:m>
              <a:endParaRPr lang="en-US" sz="1400"/>
            </a:p>
          </xdr:txBody>
        </xdr:sp>
      </mc:Choice>
      <mc:Fallback xmlns="">
        <xdr:sp macro="" textlink="">
          <xdr:nvSpPr>
            <xdr:cNvPr id="4" name="TextBox 3">
              <a:extLst>
                <a:ext uri="{FF2B5EF4-FFF2-40B4-BE49-F238E27FC236}">
                  <a16:creationId xmlns:a16="http://schemas.microsoft.com/office/drawing/2014/main" id="{69EC0A5E-6ACE-581B-711A-1F6575478BFE}"/>
                </a:ext>
              </a:extLst>
            </xdr:cNvPr>
            <xdr:cNvSpPr txBox="1"/>
          </xdr:nvSpPr>
          <xdr:spPr>
            <a:xfrm>
              <a:off x="17586960" y="548641"/>
              <a:ext cx="586740" cy="439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400" b="0" i="0">
                  <a:latin typeface="Cambria Math" panose="02040503050406030204" pitchFamily="18" charset="0"/>
                </a:rPr>
                <a:t>𝐶_𝑖/𝑄_𝑇 </a:t>
              </a:r>
              <a:endParaRPr lang="en-US" sz="1400"/>
            </a:p>
          </xdr:txBody>
        </xdr:sp>
      </mc:Fallback>
    </mc:AlternateContent>
    <xdr:clientData/>
  </xdr:oneCellAnchor>
  <xdr:oneCellAnchor>
    <xdr:from>
      <xdr:col>12</xdr:col>
      <xdr:colOff>457200</xdr:colOff>
      <xdr:row>2</xdr:row>
      <xdr:rowOff>118110</xdr:rowOff>
    </xdr:from>
    <xdr:ext cx="204415" cy="21050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AB2C85E-9E68-564B-2253-DD71C042A12B}"/>
                </a:ext>
              </a:extLst>
            </xdr:cNvPr>
            <xdr:cNvSpPr txBox="1"/>
          </xdr:nvSpPr>
          <xdr:spPr>
            <a:xfrm>
              <a:off x="16672560" y="628650"/>
              <a:ext cx="204415"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a:rPr lang="en-US" sz="1400" b="0" i="1">
                            <a:latin typeface="Cambria Math" panose="02040503050406030204" pitchFamily="18" charset="0"/>
                          </a:rPr>
                          <m:t>𝐶</m:t>
                        </m:r>
                      </m:e>
                      <m:sub>
                        <m:r>
                          <a:rPr lang="en-US" sz="1400" b="0" i="1">
                            <a:latin typeface="Cambria Math" panose="02040503050406030204" pitchFamily="18" charset="0"/>
                          </a:rPr>
                          <m:t>𝑖</m:t>
                        </m:r>
                      </m:sub>
                    </m:sSub>
                  </m:oMath>
                </m:oMathPara>
              </a14:m>
              <a:endParaRPr lang="en-US" sz="1400"/>
            </a:p>
          </xdr:txBody>
        </xdr:sp>
      </mc:Choice>
      <mc:Fallback xmlns="">
        <xdr:sp macro="" textlink="">
          <xdr:nvSpPr>
            <xdr:cNvPr id="5" name="TextBox 4">
              <a:extLst>
                <a:ext uri="{FF2B5EF4-FFF2-40B4-BE49-F238E27FC236}">
                  <a16:creationId xmlns:a16="http://schemas.microsoft.com/office/drawing/2014/main" id="{2AB2C85E-9E68-564B-2253-DD71C042A12B}"/>
                </a:ext>
              </a:extLst>
            </xdr:cNvPr>
            <xdr:cNvSpPr txBox="1"/>
          </xdr:nvSpPr>
          <xdr:spPr>
            <a:xfrm>
              <a:off x="16672560" y="628650"/>
              <a:ext cx="204415"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400" b="0" i="0">
                  <a:latin typeface="Cambria Math" panose="02040503050406030204" pitchFamily="18" charset="0"/>
                </a:rPr>
                <a:t>𝐶_𝑖</a:t>
              </a:r>
              <a:endParaRPr lang="en-US" sz="1400"/>
            </a:p>
          </xdr:txBody>
        </xdr:sp>
      </mc:Fallback>
    </mc:AlternateContent>
    <xdr:clientData/>
  </xdr:oneCellAnchor>
  <xdr:oneCellAnchor>
    <xdr:from>
      <xdr:col>14</xdr:col>
      <xdr:colOff>548640</xdr:colOff>
      <xdr:row>2</xdr:row>
      <xdr:rowOff>110490</xdr:rowOff>
    </xdr:from>
    <xdr:ext cx="470450" cy="21050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D665F57-2515-4FB0-A4E8-E60775317FAE}"/>
                </a:ext>
              </a:extLst>
            </xdr:cNvPr>
            <xdr:cNvSpPr txBox="1"/>
          </xdr:nvSpPr>
          <xdr:spPr>
            <a:xfrm>
              <a:off x="18973800" y="621030"/>
              <a:ext cx="470450"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a:rPr lang="en-US" sz="1400" b="0" i="1">
                            <a:latin typeface="Cambria Math" panose="02040503050406030204" pitchFamily="18" charset="0"/>
                          </a:rPr>
                          <m:t>𝐶</m:t>
                        </m:r>
                      </m:e>
                      <m:sub>
                        <m:r>
                          <a:rPr lang="en-US" sz="1400" b="0" i="1">
                            <a:latin typeface="Cambria Math" panose="02040503050406030204" pitchFamily="18" charset="0"/>
                          </a:rPr>
                          <m:t>𝑇𝑟𝑢𝑒</m:t>
                        </m:r>
                      </m:sub>
                    </m:sSub>
                  </m:oMath>
                </m:oMathPara>
              </a14:m>
              <a:endParaRPr lang="en-US" sz="1400"/>
            </a:p>
          </xdr:txBody>
        </xdr:sp>
      </mc:Choice>
      <mc:Fallback xmlns="">
        <xdr:sp macro="" textlink="">
          <xdr:nvSpPr>
            <xdr:cNvPr id="6" name="TextBox 5">
              <a:extLst>
                <a:ext uri="{FF2B5EF4-FFF2-40B4-BE49-F238E27FC236}">
                  <a16:creationId xmlns:a16="http://schemas.microsoft.com/office/drawing/2014/main" id="{6D665F57-2515-4FB0-A4E8-E60775317FAE}"/>
                </a:ext>
              </a:extLst>
            </xdr:cNvPr>
            <xdr:cNvSpPr txBox="1"/>
          </xdr:nvSpPr>
          <xdr:spPr>
            <a:xfrm>
              <a:off x="18973800" y="621030"/>
              <a:ext cx="470450"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400" b="0" i="0">
                  <a:latin typeface="Cambria Math" panose="02040503050406030204" pitchFamily="18" charset="0"/>
                </a:rPr>
                <a:t>𝐶_𝑇𝑟𝑢𝑒</a:t>
              </a:r>
              <a:endParaRPr lang="en-US" sz="1400"/>
            </a:p>
          </xdr:txBody>
        </xdr:sp>
      </mc:Fallback>
    </mc:AlternateContent>
    <xdr:clientData/>
  </xdr:oneCellAnchor>
  <xdr:oneCellAnchor>
    <xdr:from>
      <xdr:col>15</xdr:col>
      <xdr:colOff>388620</xdr:colOff>
      <xdr:row>2</xdr:row>
      <xdr:rowOff>15241</xdr:rowOff>
    </xdr:from>
    <xdr:ext cx="586740" cy="43992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535CAF2-FE1D-48A8-B98A-A7E2E2373091}"/>
                </a:ext>
              </a:extLst>
            </xdr:cNvPr>
            <xdr:cNvSpPr txBox="1"/>
          </xdr:nvSpPr>
          <xdr:spPr>
            <a:xfrm>
              <a:off x="20124420" y="525781"/>
              <a:ext cx="586740" cy="439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400" i="1">
                            <a:latin typeface="Cambria Math" panose="02040503050406030204" pitchFamily="18" charset="0"/>
                          </a:rPr>
                        </m:ctrlPr>
                      </m:fPr>
                      <m:num>
                        <m:sSub>
                          <m:sSubPr>
                            <m:ctrlPr>
                              <a:rPr lang="en-US" sz="1400" b="0" i="1">
                                <a:latin typeface="Cambria Math" panose="02040503050406030204" pitchFamily="18" charset="0"/>
                              </a:rPr>
                            </m:ctrlPr>
                          </m:sSubPr>
                          <m:e>
                            <m:r>
                              <a:rPr lang="en-US" sz="1400" b="0" i="1">
                                <a:latin typeface="Cambria Math" panose="02040503050406030204" pitchFamily="18" charset="0"/>
                              </a:rPr>
                              <m:t>𝐶</m:t>
                            </m:r>
                          </m:e>
                          <m:sub>
                            <m:r>
                              <a:rPr lang="en-US" sz="1400" b="0" i="1">
                                <a:latin typeface="Cambria Math" panose="02040503050406030204" pitchFamily="18" charset="0"/>
                              </a:rPr>
                              <m:t>𝑇𝑟𝑢𝑒</m:t>
                            </m:r>
                          </m:sub>
                        </m:sSub>
                      </m:num>
                      <m:den>
                        <m:sSub>
                          <m:sSubPr>
                            <m:ctrlPr>
                              <a:rPr lang="en-US" sz="1400" i="1">
                                <a:latin typeface="Cambria Math" panose="02040503050406030204" pitchFamily="18" charset="0"/>
                              </a:rPr>
                            </m:ctrlPr>
                          </m:sSubPr>
                          <m:e>
                            <m:r>
                              <a:rPr lang="en-US" sz="1400" b="0" i="1">
                                <a:latin typeface="Cambria Math" panose="02040503050406030204" pitchFamily="18" charset="0"/>
                              </a:rPr>
                              <m:t>𝑄</m:t>
                            </m:r>
                          </m:e>
                          <m:sub>
                            <m:r>
                              <a:rPr lang="en-US" sz="1400" b="0" i="1">
                                <a:latin typeface="Cambria Math" panose="02040503050406030204" pitchFamily="18" charset="0"/>
                              </a:rPr>
                              <m:t>𝑇</m:t>
                            </m:r>
                          </m:sub>
                        </m:sSub>
                      </m:den>
                    </m:f>
                  </m:oMath>
                </m:oMathPara>
              </a14:m>
              <a:endParaRPr lang="en-US" sz="1400"/>
            </a:p>
          </xdr:txBody>
        </xdr:sp>
      </mc:Choice>
      <mc:Fallback xmlns="">
        <xdr:sp macro="" textlink="">
          <xdr:nvSpPr>
            <xdr:cNvPr id="7" name="TextBox 6">
              <a:extLst>
                <a:ext uri="{FF2B5EF4-FFF2-40B4-BE49-F238E27FC236}">
                  <a16:creationId xmlns:a16="http://schemas.microsoft.com/office/drawing/2014/main" id="{7535CAF2-FE1D-48A8-B98A-A7E2E2373091}"/>
                </a:ext>
              </a:extLst>
            </xdr:cNvPr>
            <xdr:cNvSpPr txBox="1"/>
          </xdr:nvSpPr>
          <xdr:spPr>
            <a:xfrm>
              <a:off x="20124420" y="525781"/>
              <a:ext cx="586740" cy="439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400" b="0" i="0">
                  <a:latin typeface="Cambria Math" panose="02040503050406030204" pitchFamily="18" charset="0"/>
                </a:rPr>
                <a:t>𝐶_𝑇𝑟𝑢𝑒/𝑄_𝑇 </a:t>
              </a:r>
              <a:endParaRPr lang="en-US" sz="1400"/>
            </a:p>
          </xdr:txBody>
        </xdr:sp>
      </mc:Fallback>
    </mc:AlternateContent>
    <xdr:clientData/>
  </xdr:oneCellAnchor>
  <xdr:twoCellAnchor editAs="oneCell">
    <xdr:from>
      <xdr:col>12</xdr:col>
      <xdr:colOff>245166</xdr:colOff>
      <xdr:row>483</xdr:row>
      <xdr:rowOff>19206</xdr:rowOff>
    </xdr:from>
    <xdr:to>
      <xdr:col>13</xdr:col>
      <xdr:colOff>793996</xdr:colOff>
      <xdr:row>483</xdr:row>
      <xdr:rowOff>842166</xdr:rowOff>
    </xdr:to>
    <xdr:pic>
      <xdr:nvPicPr>
        <xdr:cNvPr id="9" name="Picture 8">
          <a:extLst>
            <a:ext uri="{FF2B5EF4-FFF2-40B4-BE49-F238E27FC236}">
              <a16:creationId xmlns:a16="http://schemas.microsoft.com/office/drawing/2014/main" id="{AEB30F61-5059-5410-43FE-7AF1B6B8E633}"/>
            </a:ext>
          </a:extLst>
        </xdr:cNvPr>
        <xdr:cNvPicPr>
          <a:picLocks noChangeAspect="1"/>
        </xdr:cNvPicPr>
      </xdr:nvPicPr>
      <xdr:blipFill>
        <a:blip xmlns:r="http://schemas.openxmlformats.org/officeDocument/2006/relationships" r:embed="rId1"/>
        <a:stretch>
          <a:fillRect/>
        </a:stretch>
      </xdr:blipFill>
      <xdr:spPr>
        <a:xfrm>
          <a:off x="16453354" y="110778147"/>
          <a:ext cx="1669419" cy="822960"/>
        </a:xfrm>
        <a:prstGeom prst="rect">
          <a:avLst/>
        </a:prstGeom>
      </xdr:spPr>
    </xdr:pic>
    <xdr:clientData/>
  </xdr:twoCellAnchor>
  <xdr:twoCellAnchor editAs="oneCell">
    <xdr:from>
      <xdr:col>14</xdr:col>
      <xdr:colOff>304799</xdr:colOff>
      <xdr:row>483</xdr:row>
      <xdr:rowOff>26896</xdr:rowOff>
    </xdr:from>
    <xdr:to>
      <xdr:col>15</xdr:col>
      <xdr:colOff>1134564</xdr:colOff>
      <xdr:row>483</xdr:row>
      <xdr:rowOff>849856</xdr:rowOff>
    </xdr:to>
    <xdr:pic>
      <xdr:nvPicPr>
        <xdr:cNvPr id="11" name="Picture 10">
          <a:extLst>
            <a:ext uri="{FF2B5EF4-FFF2-40B4-BE49-F238E27FC236}">
              <a16:creationId xmlns:a16="http://schemas.microsoft.com/office/drawing/2014/main" id="{F2E55B57-E1D0-8EA2-DE7A-FF8703B62052}"/>
            </a:ext>
          </a:extLst>
        </xdr:cNvPr>
        <xdr:cNvPicPr>
          <a:picLocks noChangeAspect="1"/>
        </xdr:cNvPicPr>
      </xdr:nvPicPr>
      <xdr:blipFill>
        <a:blip xmlns:r="http://schemas.openxmlformats.org/officeDocument/2006/relationships" r:embed="rId2"/>
        <a:stretch>
          <a:fillRect/>
        </a:stretch>
      </xdr:blipFill>
      <xdr:spPr>
        <a:xfrm>
          <a:off x="18861740" y="110785837"/>
          <a:ext cx="2138613" cy="822960"/>
        </a:xfrm>
        <a:prstGeom prst="rect">
          <a:avLst/>
        </a:prstGeom>
      </xdr:spPr>
    </xdr:pic>
    <xdr:clientData/>
  </xdr:twoCellAnchor>
  <xdr:twoCellAnchor editAs="oneCell">
    <xdr:from>
      <xdr:col>16</xdr:col>
      <xdr:colOff>508426</xdr:colOff>
      <xdr:row>483</xdr:row>
      <xdr:rowOff>35860</xdr:rowOff>
    </xdr:from>
    <xdr:to>
      <xdr:col>17</xdr:col>
      <xdr:colOff>568309</xdr:colOff>
      <xdr:row>483</xdr:row>
      <xdr:rowOff>858820</xdr:rowOff>
    </xdr:to>
    <xdr:pic>
      <xdr:nvPicPr>
        <xdr:cNvPr id="12" name="Picture 11">
          <a:extLst>
            <a:ext uri="{FF2B5EF4-FFF2-40B4-BE49-F238E27FC236}">
              <a16:creationId xmlns:a16="http://schemas.microsoft.com/office/drawing/2014/main" id="{FBFEDBAE-92FC-68C7-E602-44CA3A95EDE4}"/>
            </a:ext>
          </a:extLst>
        </xdr:cNvPr>
        <xdr:cNvPicPr>
          <a:picLocks noChangeAspect="1"/>
        </xdr:cNvPicPr>
      </xdr:nvPicPr>
      <xdr:blipFill>
        <a:blip xmlns:r="http://schemas.openxmlformats.org/officeDocument/2006/relationships" r:embed="rId3"/>
        <a:stretch>
          <a:fillRect/>
        </a:stretch>
      </xdr:blipFill>
      <xdr:spPr>
        <a:xfrm>
          <a:off x="21757340" y="108207203"/>
          <a:ext cx="1779826" cy="822960"/>
        </a:xfrm>
        <a:prstGeom prst="rect">
          <a:avLst/>
        </a:prstGeom>
      </xdr:spPr>
    </xdr:pic>
    <xdr:clientData/>
  </xdr:twoCellAnchor>
  <xdr:oneCellAnchor>
    <xdr:from>
      <xdr:col>5</xdr:col>
      <xdr:colOff>134840</xdr:colOff>
      <xdr:row>486</xdr:row>
      <xdr:rowOff>66758</xdr:rowOff>
    </xdr:from>
    <xdr:ext cx="615874" cy="2105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77EFCF5C-EE74-62E3-F193-971E80F080D6}"/>
                </a:ext>
              </a:extLst>
            </xdr:cNvPr>
            <xdr:cNvSpPr txBox="1"/>
          </xdr:nvSpPr>
          <xdr:spPr>
            <a:xfrm>
              <a:off x="9424614" y="109589349"/>
              <a:ext cx="615874"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a:rPr lang="en-US" sz="1400" b="0" i="1">
                            <a:latin typeface="Cambria Math" panose="02040503050406030204" pitchFamily="18" charset="0"/>
                          </a:rPr>
                          <m:t>𝐶</m:t>
                        </m:r>
                        <m:r>
                          <a:rPr lang="en-US" sz="1400" b="0" i="1">
                            <a:latin typeface="Cambria Math" panose="02040503050406030204" pitchFamily="18" charset="0"/>
                          </a:rPr>
                          <m:t>.</m:t>
                        </m:r>
                        <m:r>
                          <a:rPr lang="en-US" sz="1400" b="0" i="1">
                            <a:latin typeface="Cambria Math" panose="02040503050406030204" pitchFamily="18" charset="0"/>
                          </a:rPr>
                          <m:t>𝑈</m:t>
                        </m:r>
                      </m:e>
                      <m:sub>
                        <m:r>
                          <a:rPr lang="en-US" sz="1400" b="0" i="1">
                            <a:latin typeface="Cambria Math" panose="02040503050406030204" pitchFamily="18" charset="0"/>
                          </a:rPr>
                          <m:t>𝐹𝑢𝑙𝑙</m:t>
                        </m:r>
                      </m:sub>
                    </m:sSub>
                  </m:oMath>
                </m:oMathPara>
              </a14:m>
              <a:endParaRPr lang="en-US" sz="1400"/>
            </a:p>
          </xdr:txBody>
        </xdr:sp>
      </mc:Choice>
      <mc:Fallback xmlns="">
        <xdr:sp macro="" textlink="">
          <xdr:nvSpPr>
            <xdr:cNvPr id="13" name="TextBox 12">
              <a:extLst>
                <a:ext uri="{FF2B5EF4-FFF2-40B4-BE49-F238E27FC236}">
                  <a16:creationId xmlns:a16="http://schemas.microsoft.com/office/drawing/2014/main" id="{77EFCF5C-EE74-62E3-F193-971E80F080D6}"/>
                </a:ext>
              </a:extLst>
            </xdr:cNvPr>
            <xdr:cNvSpPr txBox="1"/>
          </xdr:nvSpPr>
          <xdr:spPr>
            <a:xfrm>
              <a:off x="9424614" y="109589349"/>
              <a:ext cx="615874"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400" i="0">
                  <a:latin typeface="Cambria Math" panose="02040503050406030204" pitchFamily="18" charset="0"/>
                </a:rPr>
                <a:t>〖</a:t>
              </a:r>
              <a:r>
                <a:rPr lang="en-US" sz="1400" b="0" i="0">
                  <a:latin typeface="Cambria Math" panose="02040503050406030204" pitchFamily="18" charset="0"/>
                </a:rPr>
                <a:t>𝐶.𝑈〗_𝐹𝑢𝑙𝑙</a:t>
              </a:r>
              <a:endParaRPr lang="en-US" sz="1400"/>
            </a:p>
          </xdr:txBody>
        </xdr:sp>
      </mc:Fallback>
    </mc:AlternateContent>
    <xdr:clientData/>
  </xdr:oneCellAnchor>
  <xdr:oneCellAnchor>
    <xdr:from>
      <xdr:col>6</xdr:col>
      <xdr:colOff>8944</xdr:colOff>
      <xdr:row>486</xdr:row>
      <xdr:rowOff>80010</xdr:rowOff>
    </xdr:from>
    <xdr:ext cx="824072" cy="210507"/>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A2DE012E-259E-40DA-9885-7C785892A56B}"/>
                </a:ext>
              </a:extLst>
            </xdr:cNvPr>
            <xdr:cNvSpPr txBox="1"/>
          </xdr:nvSpPr>
          <xdr:spPr>
            <a:xfrm>
              <a:off x="10193240" y="109602601"/>
              <a:ext cx="824072"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a:rPr lang="en-US" sz="1400" b="0" i="1">
                            <a:latin typeface="Cambria Math" panose="02040503050406030204" pitchFamily="18" charset="0"/>
                          </a:rPr>
                          <m:t>𝐶</m:t>
                        </m:r>
                        <m:r>
                          <a:rPr lang="en-US" sz="1400" b="0" i="1">
                            <a:latin typeface="Cambria Math" panose="02040503050406030204" pitchFamily="18" charset="0"/>
                          </a:rPr>
                          <m:t>.</m:t>
                        </m:r>
                        <m:r>
                          <a:rPr lang="en-US" sz="1400" b="0" i="1">
                            <a:latin typeface="Cambria Math" panose="02040503050406030204" pitchFamily="18" charset="0"/>
                          </a:rPr>
                          <m:t>𝑈</m:t>
                        </m:r>
                      </m:e>
                      <m:sub>
                        <m:r>
                          <a:rPr lang="en-US" sz="1400" b="0" i="1">
                            <a:latin typeface="Cambria Math" panose="02040503050406030204" pitchFamily="18" charset="0"/>
                          </a:rPr>
                          <m:t>𝑃𝑎𝑟𝑡𝑖𝑎𝑙</m:t>
                        </m:r>
                      </m:sub>
                    </m:sSub>
                  </m:oMath>
                </m:oMathPara>
              </a14:m>
              <a:endParaRPr lang="en-US" sz="1400"/>
            </a:p>
          </xdr:txBody>
        </xdr:sp>
      </mc:Choice>
      <mc:Fallback xmlns="">
        <xdr:sp macro="" textlink="">
          <xdr:nvSpPr>
            <xdr:cNvPr id="14" name="TextBox 13">
              <a:extLst>
                <a:ext uri="{FF2B5EF4-FFF2-40B4-BE49-F238E27FC236}">
                  <a16:creationId xmlns:a16="http://schemas.microsoft.com/office/drawing/2014/main" id="{A2DE012E-259E-40DA-9885-7C785892A56B}"/>
                </a:ext>
              </a:extLst>
            </xdr:cNvPr>
            <xdr:cNvSpPr txBox="1"/>
          </xdr:nvSpPr>
          <xdr:spPr>
            <a:xfrm>
              <a:off x="10193240" y="109602601"/>
              <a:ext cx="824072"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400" i="0">
                  <a:latin typeface="Cambria Math" panose="02040503050406030204" pitchFamily="18" charset="0"/>
                </a:rPr>
                <a:t>〖</a:t>
              </a:r>
              <a:r>
                <a:rPr lang="en-US" sz="1400" b="0" i="0">
                  <a:latin typeface="Cambria Math" panose="02040503050406030204" pitchFamily="18" charset="0"/>
                </a:rPr>
                <a:t>𝐶.𝑈〗_𝑃𝑎𝑟𝑡𝑖𝑎𝑙</a:t>
              </a:r>
              <a:endParaRPr lang="en-US" sz="1400"/>
            </a:p>
          </xdr:txBody>
        </xdr:sp>
      </mc:Fallback>
    </mc:AlternateContent>
    <xdr:clientData/>
  </xdr:oneCellAnchor>
  <xdr:oneCellAnchor>
    <xdr:from>
      <xdr:col>7</xdr:col>
      <xdr:colOff>201101</xdr:colOff>
      <xdr:row>486</xdr:row>
      <xdr:rowOff>53506</xdr:rowOff>
    </xdr:from>
    <xdr:ext cx="968983" cy="21050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00E71120-7715-4810-8A66-F5240FFF7954}"/>
                </a:ext>
              </a:extLst>
            </xdr:cNvPr>
            <xdr:cNvSpPr txBox="1"/>
          </xdr:nvSpPr>
          <xdr:spPr>
            <a:xfrm>
              <a:off x="11260040" y="109576097"/>
              <a:ext cx="968983"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400" i="1">
                            <a:latin typeface="Cambria Math" panose="02040503050406030204" pitchFamily="18" charset="0"/>
                          </a:rPr>
                        </m:ctrlPr>
                      </m:sSubPr>
                      <m:e>
                        <m:r>
                          <a:rPr lang="en-US" sz="1400" b="0" i="1">
                            <a:latin typeface="Cambria Math" panose="02040503050406030204" pitchFamily="18" charset="0"/>
                          </a:rPr>
                          <m:t>𝐶</m:t>
                        </m:r>
                        <m:r>
                          <a:rPr lang="en-US" sz="1400" b="0" i="1">
                            <a:latin typeface="Cambria Math" panose="02040503050406030204" pitchFamily="18" charset="0"/>
                          </a:rPr>
                          <m:t>.</m:t>
                        </m:r>
                        <m:r>
                          <a:rPr lang="en-US" sz="1400" b="0" i="1">
                            <a:latin typeface="Cambria Math" panose="02040503050406030204" pitchFamily="18" charset="0"/>
                          </a:rPr>
                          <m:t>𝑈</m:t>
                        </m:r>
                      </m:e>
                      <m:sub>
                        <m:r>
                          <a:rPr lang="en-US" sz="1400" b="0" i="1">
                            <a:latin typeface="Cambria Math" panose="02040503050406030204" pitchFamily="18" charset="0"/>
                          </a:rPr>
                          <m:t>𝑁𝑜𝑡</m:t>
                        </m:r>
                        <m:r>
                          <a:rPr lang="en-US" sz="1400" b="0" i="1">
                            <a:latin typeface="Cambria Math" panose="02040503050406030204" pitchFamily="18" charset="0"/>
                          </a:rPr>
                          <m:t> </m:t>
                        </m:r>
                        <m:r>
                          <a:rPr lang="en-US" sz="1400" b="0" i="1">
                            <a:latin typeface="Cambria Math" panose="02040503050406030204" pitchFamily="18" charset="0"/>
                          </a:rPr>
                          <m:t>𝑎𝑡</m:t>
                        </m:r>
                        <m:r>
                          <a:rPr lang="en-US" sz="1400" b="0" i="1">
                            <a:latin typeface="Cambria Math" panose="02040503050406030204" pitchFamily="18" charset="0"/>
                          </a:rPr>
                          <m:t> </m:t>
                        </m:r>
                        <m:r>
                          <a:rPr lang="en-US" sz="1400" b="0" i="1">
                            <a:latin typeface="Cambria Math" panose="02040503050406030204" pitchFamily="18" charset="0"/>
                          </a:rPr>
                          <m:t>𝑎𝑙𝑙</m:t>
                        </m:r>
                      </m:sub>
                    </m:sSub>
                  </m:oMath>
                </m:oMathPara>
              </a14:m>
              <a:endParaRPr lang="en-US" sz="1400"/>
            </a:p>
          </xdr:txBody>
        </xdr:sp>
      </mc:Choice>
      <mc:Fallback xmlns="">
        <xdr:sp macro="" textlink="">
          <xdr:nvSpPr>
            <xdr:cNvPr id="15" name="TextBox 14">
              <a:extLst>
                <a:ext uri="{FF2B5EF4-FFF2-40B4-BE49-F238E27FC236}">
                  <a16:creationId xmlns:a16="http://schemas.microsoft.com/office/drawing/2014/main" id="{00E71120-7715-4810-8A66-F5240FFF7954}"/>
                </a:ext>
              </a:extLst>
            </xdr:cNvPr>
            <xdr:cNvSpPr txBox="1"/>
          </xdr:nvSpPr>
          <xdr:spPr>
            <a:xfrm>
              <a:off x="11260040" y="109576097"/>
              <a:ext cx="968983" cy="2105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400" i="0">
                  <a:latin typeface="Cambria Math" panose="02040503050406030204" pitchFamily="18" charset="0"/>
                </a:rPr>
                <a:t>〖</a:t>
              </a:r>
              <a:r>
                <a:rPr lang="en-US" sz="1400" b="0" i="0">
                  <a:latin typeface="Cambria Math" panose="02040503050406030204" pitchFamily="18" charset="0"/>
                </a:rPr>
                <a:t>𝐶.𝑈〗_(𝑁𝑜𝑡 𝑎𝑡 𝑎𝑙𝑙)</a:t>
              </a:r>
              <a:endParaRPr lang="en-US" sz="1400"/>
            </a:p>
          </xdr:txBody>
        </xdr:sp>
      </mc:Fallback>
    </mc:AlternateContent>
    <xdr:clientData/>
  </xdr:oneCellAnchor>
  <xdr:twoCellAnchor editAs="oneCell">
    <xdr:from>
      <xdr:col>5</xdr:col>
      <xdr:colOff>579121</xdr:colOff>
      <xdr:row>485</xdr:row>
      <xdr:rowOff>15240</xdr:rowOff>
    </xdr:from>
    <xdr:to>
      <xdr:col>7</xdr:col>
      <xdr:colOff>542637</xdr:colOff>
      <xdr:row>485</xdr:row>
      <xdr:rowOff>891540</xdr:rowOff>
    </xdr:to>
    <xdr:pic>
      <xdr:nvPicPr>
        <xdr:cNvPr id="17" name="Picture 16">
          <a:extLst>
            <a:ext uri="{FF2B5EF4-FFF2-40B4-BE49-F238E27FC236}">
              <a16:creationId xmlns:a16="http://schemas.microsoft.com/office/drawing/2014/main" id="{DF236C3E-1A43-9BAA-E349-F620F786B013}"/>
            </a:ext>
          </a:extLst>
        </xdr:cNvPr>
        <xdr:cNvPicPr>
          <a:picLocks noChangeAspect="1"/>
        </xdr:cNvPicPr>
      </xdr:nvPicPr>
      <xdr:blipFill>
        <a:blip xmlns:r="http://schemas.openxmlformats.org/officeDocument/2006/relationships" r:embed="rId4"/>
        <a:stretch>
          <a:fillRect/>
        </a:stretch>
      </xdr:blipFill>
      <xdr:spPr>
        <a:xfrm>
          <a:off x="9860281" y="110947200"/>
          <a:ext cx="1731356" cy="8763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R531"/>
  <sheetViews>
    <sheetView tabSelected="1" topLeftCell="B1" zoomScale="85" zoomScaleNormal="85" workbookViewId="0">
      <selection activeCell="B1" sqref="B1:P1"/>
    </sheetView>
  </sheetViews>
  <sheetFormatPr defaultColWidth="12.6640625" defaultRowHeight="13.2" x14ac:dyDescent="0.25"/>
  <cols>
    <col min="1" max="1" width="1.21875" style="3" customWidth="1"/>
    <col min="2" max="2" width="35.21875" style="57" customWidth="1"/>
    <col min="3" max="3" width="14.5546875" style="30" bestFit="1" customWidth="1"/>
    <col min="4" max="4" width="54.6640625" style="10" customWidth="1"/>
    <col min="5" max="5" width="7.88671875" style="31" customWidth="1"/>
    <col min="6" max="6" width="13" style="7" customWidth="1"/>
    <col min="7" max="7" width="12.77734375" style="3" customWidth="1"/>
    <col min="8" max="8" width="20" style="3" customWidth="1"/>
    <col min="9" max="9" width="15.109375" style="7" bestFit="1" customWidth="1"/>
    <col min="10" max="10" width="15.109375" style="3" bestFit="1" customWidth="1"/>
    <col min="11" max="11" width="18.44140625" style="3" bestFit="1" customWidth="1"/>
    <col min="12" max="12" width="16.21875" style="3" bestFit="1" customWidth="1"/>
    <col min="13" max="13" width="16.33203125" style="7" customWidth="1"/>
    <col min="14" max="14" width="15.88671875" style="3" customWidth="1"/>
    <col min="15" max="15" width="19.109375" style="7" customWidth="1"/>
    <col min="16" max="16" width="20.21875" style="18" customWidth="1"/>
    <col min="17" max="17" width="25" style="3" customWidth="1"/>
    <col min="18" max="18" width="17.77734375" style="18" customWidth="1"/>
    <col min="19" max="16384" width="12.6640625" style="3"/>
  </cols>
  <sheetData>
    <row r="1" spans="2:18" ht="165" customHeight="1" thickBot="1" x14ac:dyDescent="0.3">
      <c r="B1" s="79" t="s">
        <v>133</v>
      </c>
      <c r="C1" s="80"/>
      <c r="D1" s="80"/>
      <c r="E1" s="80"/>
      <c r="F1" s="80"/>
      <c r="G1" s="80"/>
      <c r="H1" s="80"/>
      <c r="I1" s="80"/>
      <c r="J1" s="80"/>
      <c r="K1" s="80"/>
      <c r="L1" s="80"/>
      <c r="M1" s="80"/>
      <c r="N1" s="80"/>
      <c r="O1" s="80"/>
      <c r="P1" s="81"/>
    </row>
    <row r="2" spans="2:18" ht="40.200000000000003" customHeight="1" x14ac:dyDescent="0.25">
      <c r="B2" s="91" t="s">
        <v>82</v>
      </c>
      <c r="C2" s="93" t="s">
        <v>122</v>
      </c>
      <c r="D2" s="93" t="s">
        <v>121</v>
      </c>
      <c r="E2" s="95" t="s">
        <v>79</v>
      </c>
      <c r="F2" s="88" t="s">
        <v>126</v>
      </c>
      <c r="G2" s="89"/>
      <c r="H2" s="89"/>
      <c r="I2" s="88" t="s">
        <v>125</v>
      </c>
      <c r="J2" s="89"/>
      <c r="K2" s="89"/>
      <c r="L2" s="90"/>
      <c r="M2" s="97" t="s">
        <v>127</v>
      </c>
      <c r="N2" s="98"/>
      <c r="O2" s="97" t="s">
        <v>128</v>
      </c>
      <c r="P2" s="98"/>
    </row>
    <row r="3" spans="2:18" s="6" customFormat="1" ht="40.200000000000003" thickBot="1" x14ac:dyDescent="0.3">
      <c r="B3" s="92"/>
      <c r="C3" s="94"/>
      <c r="D3" s="94"/>
      <c r="E3" s="96"/>
      <c r="F3" s="5" t="s">
        <v>114</v>
      </c>
      <c r="G3" s="1" t="s">
        <v>115</v>
      </c>
      <c r="H3" s="1" t="s">
        <v>113</v>
      </c>
      <c r="I3" s="5" t="s">
        <v>117</v>
      </c>
      <c r="J3" s="1" t="s">
        <v>118</v>
      </c>
      <c r="K3" s="1" t="s">
        <v>119</v>
      </c>
      <c r="L3" s="44" t="s">
        <v>120</v>
      </c>
      <c r="M3" s="42"/>
      <c r="N3" s="43"/>
      <c r="O3" s="45"/>
      <c r="P3" s="46"/>
      <c r="R3" s="17"/>
    </row>
    <row r="4" spans="2:18" ht="13.2" customHeight="1" x14ac:dyDescent="0.25">
      <c r="B4" s="56" t="s">
        <v>83</v>
      </c>
      <c r="C4" s="70" t="s">
        <v>0</v>
      </c>
      <c r="D4" s="63" t="s">
        <v>116</v>
      </c>
      <c r="E4" s="31">
        <v>1</v>
      </c>
      <c r="F4" s="7">
        <v>1</v>
      </c>
      <c r="I4" s="7">
        <v>1</v>
      </c>
      <c r="M4" s="7">
        <f>MAX(COUNT(I4:I8)+COUNT(K4:K8),COUNT(J4:J8)+COUNT(L4:L8))</f>
        <v>5</v>
      </c>
      <c r="N4" s="3">
        <f>M4/5</f>
        <v>1</v>
      </c>
      <c r="O4" s="7">
        <f>SUM(I4:I8,K4:K8)</f>
        <v>5</v>
      </c>
      <c r="P4" s="18">
        <f>O4/5</f>
        <v>1</v>
      </c>
    </row>
    <row r="5" spans="2:18" x14ac:dyDescent="0.25">
      <c r="B5" s="57" t="s">
        <v>83</v>
      </c>
      <c r="C5" s="70"/>
      <c r="D5" s="63"/>
      <c r="E5" s="31">
        <v>2</v>
      </c>
      <c r="F5" s="7">
        <v>1</v>
      </c>
      <c r="I5" s="7">
        <v>1</v>
      </c>
    </row>
    <row r="6" spans="2:18" x14ac:dyDescent="0.25">
      <c r="B6" s="57" t="s">
        <v>83</v>
      </c>
      <c r="C6" s="70"/>
      <c r="D6" s="63"/>
      <c r="E6" s="31">
        <v>3</v>
      </c>
      <c r="F6" s="7">
        <v>1</v>
      </c>
      <c r="I6" s="7">
        <v>1</v>
      </c>
    </row>
    <row r="7" spans="2:18" x14ac:dyDescent="0.25">
      <c r="B7" s="57" t="s">
        <v>83</v>
      </c>
      <c r="C7" s="70"/>
      <c r="D7" s="63"/>
      <c r="E7" s="31">
        <v>4</v>
      </c>
      <c r="F7" s="7">
        <v>1</v>
      </c>
      <c r="I7" s="7">
        <v>1</v>
      </c>
    </row>
    <row r="8" spans="2:18" s="4" customFormat="1" ht="13.8" thickBot="1" x14ac:dyDescent="0.3">
      <c r="B8" s="58" t="s">
        <v>83</v>
      </c>
      <c r="C8" s="71"/>
      <c r="D8" s="64"/>
      <c r="E8" s="32">
        <v>5</v>
      </c>
      <c r="F8" s="8">
        <v>1</v>
      </c>
      <c r="I8" s="8">
        <v>1</v>
      </c>
      <c r="M8" s="8"/>
      <c r="O8" s="8"/>
      <c r="P8" s="22"/>
      <c r="R8" s="22"/>
    </row>
    <row r="9" spans="2:18" s="2" customFormat="1" ht="13.2" customHeight="1" x14ac:dyDescent="0.25">
      <c r="B9" s="56" t="s">
        <v>83</v>
      </c>
      <c r="C9" s="69" t="s">
        <v>1</v>
      </c>
      <c r="D9" s="63" t="s">
        <v>116</v>
      </c>
      <c r="E9" s="31">
        <v>1</v>
      </c>
      <c r="F9" s="7">
        <v>1</v>
      </c>
      <c r="I9" s="7">
        <v>1</v>
      </c>
      <c r="M9" s="7">
        <f>MAX(COUNT(I9:I13)+COUNT(K9:K13),COUNT(J9:J13)+COUNT(L9:L13))</f>
        <v>5</v>
      </c>
      <c r="N9" s="3">
        <f>M9/5</f>
        <v>1</v>
      </c>
      <c r="O9" s="7">
        <f>SUM(I9:I13,K9:K13)</f>
        <v>5</v>
      </c>
      <c r="P9" s="18">
        <f>O9/5</f>
        <v>1</v>
      </c>
      <c r="R9" s="47"/>
    </row>
    <row r="10" spans="2:18" x14ac:dyDescent="0.25">
      <c r="B10" s="57" t="s">
        <v>83</v>
      </c>
      <c r="C10" s="70"/>
      <c r="D10" s="63"/>
      <c r="E10" s="31">
        <v>2</v>
      </c>
      <c r="F10" s="7">
        <v>1</v>
      </c>
      <c r="I10" s="7">
        <v>1</v>
      </c>
    </row>
    <row r="11" spans="2:18" x14ac:dyDescent="0.25">
      <c r="B11" s="57" t="s">
        <v>83</v>
      </c>
      <c r="C11" s="70"/>
      <c r="D11" s="63"/>
      <c r="E11" s="31">
        <v>3</v>
      </c>
      <c r="F11" s="7">
        <v>1</v>
      </c>
      <c r="I11" s="7">
        <v>1</v>
      </c>
    </row>
    <row r="12" spans="2:18" x14ac:dyDescent="0.25">
      <c r="B12" s="57" t="s">
        <v>83</v>
      </c>
      <c r="C12" s="70"/>
      <c r="D12" s="63"/>
      <c r="E12" s="31">
        <v>4</v>
      </c>
      <c r="F12" s="7">
        <v>1</v>
      </c>
      <c r="I12" s="7">
        <v>1</v>
      </c>
    </row>
    <row r="13" spans="2:18" s="4" customFormat="1" ht="13.8" thickBot="1" x14ac:dyDescent="0.3">
      <c r="B13" s="58" t="s">
        <v>83</v>
      </c>
      <c r="C13" s="71"/>
      <c r="D13" s="64"/>
      <c r="E13" s="32">
        <v>5</v>
      </c>
      <c r="F13" s="8">
        <v>1</v>
      </c>
      <c r="I13" s="8">
        <v>1</v>
      </c>
      <c r="M13" s="8"/>
      <c r="O13" s="8"/>
      <c r="P13" s="22"/>
      <c r="R13" s="22"/>
    </row>
    <row r="14" spans="2:18" s="2" customFormat="1" ht="13.2" customHeight="1" x14ac:dyDescent="0.25">
      <c r="B14" s="56" t="s">
        <v>83</v>
      </c>
      <c r="C14" s="69" t="s">
        <v>2</v>
      </c>
      <c r="D14" s="63" t="s">
        <v>116</v>
      </c>
      <c r="E14" s="31">
        <v>1</v>
      </c>
      <c r="F14" s="7">
        <v>1</v>
      </c>
      <c r="I14" s="7">
        <v>1</v>
      </c>
      <c r="M14" s="7">
        <f>MAX(COUNT(I14:I18)+COUNT(K14:K18),COUNT(J14:J18)+COUNT(L14:L18))</f>
        <v>5</v>
      </c>
      <c r="N14" s="3">
        <f>M14/5</f>
        <v>1</v>
      </c>
      <c r="O14" s="7">
        <f>SUM(I14:I18,K14:K18)</f>
        <v>5</v>
      </c>
      <c r="P14" s="18">
        <f>O14/5</f>
        <v>1</v>
      </c>
      <c r="R14" s="47"/>
    </row>
    <row r="15" spans="2:18" x14ac:dyDescent="0.25">
      <c r="B15" s="57" t="s">
        <v>83</v>
      </c>
      <c r="C15" s="70"/>
      <c r="D15" s="63"/>
      <c r="E15" s="31">
        <v>2</v>
      </c>
      <c r="F15" s="7">
        <v>1</v>
      </c>
      <c r="I15" s="7">
        <v>1</v>
      </c>
    </row>
    <row r="16" spans="2:18" x14ac:dyDescent="0.25">
      <c r="B16" s="57" t="s">
        <v>83</v>
      </c>
      <c r="C16" s="70"/>
      <c r="D16" s="63"/>
      <c r="E16" s="31">
        <v>3</v>
      </c>
      <c r="F16" s="7">
        <v>1</v>
      </c>
      <c r="I16" s="7">
        <v>1</v>
      </c>
    </row>
    <row r="17" spans="2:18" x14ac:dyDescent="0.25">
      <c r="B17" s="57" t="s">
        <v>83</v>
      </c>
      <c r="C17" s="70"/>
      <c r="D17" s="63"/>
      <c r="E17" s="31">
        <v>4</v>
      </c>
      <c r="F17" s="7">
        <v>1</v>
      </c>
      <c r="I17" s="7">
        <v>1</v>
      </c>
    </row>
    <row r="18" spans="2:18" s="4" customFormat="1" ht="13.8" thickBot="1" x14ac:dyDescent="0.3">
      <c r="B18" s="58" t="s">
        <v>83</v>
      </c>
      <c r="C18" s="71"/>
      <c r="D18" s="64"/>
      <c r="E18" s="32">
        <v>5</v>
      </c>
      <c r="F18" s="8">
        <v>1</v>
      </c>
      <c r="I18" s="8">
        <v>1</v>
      </c>
      <c r="M18" s="8"/>
      <c r="O18" s="8"/>
      <c r="P18" s="22"/>
      <c r="R18" s="22"/>
    </row>
    <row r="19" spans="2:18" s="2" customFormat="1" ht="13.2" customHeight="1" x14ac:dyDescent="0.25">
      <c r="B19" s="56" t="s">
        <v>83</v>
      </c>
      <c r="C19" s="69" t="s">
        <v>3</v>
      </c>
      <c r="D19" s="63" t="s">
        <v>116</v>
      </c>
      <c r="E19" s="31">
        <v>1</v>
      </c>
      <c r="F19" s="7">
        <v>1</v>
      </c>
      <c r="I19" s="7">
        <v>1</v>
      </c>
      <c r="M19" s="7">
        <f>MAX(COUNT(I19:I23)+COUNT(K19:K23),COUNT(J19:J23)+COUNT(L19:L23))</f>
        <v>5</v>
      </c>
      <c r="N19" s="3">
        <f>M19/5</f>
        <v>1</v>
      </c>
      <c r="O19" s="7">
        <f>SUM(I19:I23,K19:K23)</f>
        <v>5</v>
      </c>
      <c r="P19" s="18">
        <f>O19/5</f>
        <v>1</v>
      </c>
      <c r="R19" s="47"/>
    </row>
    <row r="20" spans="2:18" x14ac:dyDescent="0.25">
      <c r="B20" s="57" t="s">
        <v>83</v>
      </c>
      <c r="C20" s="70"/>
      <c r="D20" s="63"/>
      <c r="E20" s="31">
        <v>2</v>
      </c>
      <c r="F20" s="7">
        <v>1</v>
      </c>
      <c r="I20" s="7">
        <v>1</v>
      </c>
    </row>
    <row r="21" spans="2:18" x14ac:dyDescent="0.25">
      <c r="B21" s="57" t="s">
        <v>83</v>
      </c>
      <c r="C21" s="70"/>
      <c r="D21" s="63"/>
      <c r="E21" s="31">
        <v>3</v>
      </c>
      <c r="F21" s="7">
        <v>1</v>
      </c>
      <c r="I21" s="7">
        <v>1</v>
      </c>
    </row>
    <row r="22" spans="2:18" x14ac:dyDescent="0.25">
      <c r="B22" s="57" t="s">
        <v>83</v>
      </c>
      <c r="C22" s="70"/>
      <c r="D22" s="63"/>
      <c r="E22" s="31">
        <v>4</v>
      </c>
      <c r="F22" s="7">
        <v>1</v>
      </c>
      <c r="I22" s="7">
        <v>1</v>
      </c>
    </row>
    <row r="23" spans="2:18" s="4" customFormat="1" ht="13.8" thickBot="1" x14ac:dyDescent="0.3">
      <c r="B23" s="58" t="s">
        <v>83</v>
      </c>
      <c r="C23" s="71"/>
      <c r="D23" s="64"/>
      <c r="E23" s="32">
        <v>5</v>
      </c>
      <c r="F23" s="8">
        <v>1</v>
      </c>
      <c r="I23" s="8">
        <v>1</v>
      </c>
      <c r="M23" s="8"/>
      <c r="O23" s="8"/>
      <c r="P23" s="22"/>
      <c r="R23" s="22"/>
    </row>
    <row r="24" spans="2:18" s="2" customFormat="1" ht="13.2" customHeight="1" x14ac:dyDescent="0.25">
      <c r="B24" s="56" t="s">
        <v>83</v>
      </c>
      <c r="C24" s="69" t="s">
        <v>4</v>
      </c>
      <c r="D24" s="63" t="s">
        <v>116</v>
      </c>
      <c r="E24" s="31">
        <v>1</v>
      </c>
      <c r="F24" s="7">
        <v>1</v>
      </c>
      <c r="I24" s="7">
        <v>1</v>
      </c>
      <c r="M24" s="7">
        <f>MAX(COUNT(I24:I28)+COUNT(K24:K28),COUNT(J24:J28)+COUNT(L24:L28))</f>
        <v>5</v>
      </c>
      <c r="N24" s="3">
        <f>M24/5</f>
        <v>1</v>
      </c>
      <c r="O24" s="7">
        <f>SUM(I24:I28,K24:K28)</f>
        <v>5</v>
      </c>
      <c r="P24" s="18">
        <f>O24/5</f>
        <v>1</v>
      </c>
      <c r="R24" s="47"/>
    </row>
    <row r="25" spans="2:18" x14ac:dyDescent="0.25">
      <c r="B25" s="57" t="s">
        <v>83</v>
      </c>
      <c r="C25" s="70"/>
      <c r="D25" s="63"/>
      <c r="E25" s="31">
        <v>2</v>
      </c>
      <c r="F25" s="7">
        <v>1</v>
      </c>
      <c r="I25" s="7">
        <v>1</v>
      </c>
    </row>
    <row r="26" spans="2:18" x14ac:dyDescent="0.25">
      <c r="B26" s="57" t="s">
        <v>83</v>
      </c>
      <c r="C26" s="70"/>
      <c r="D26" s="63"/>
      <c r="E26" s="31">
        <v>3</v>
      </c>
      <c r="F26" s="7">
        <v>1</v>
      </c>
      <c r="I26" s="7">
        <v>1</v>
      </c>
    </row>
    <row r="27" spans="2:18" x14ac:dyDescent="0.25">
      <c r="B27" s="57" t="s">
        <v>83</v>
      </c>
      <c r="C27" s="70"/>
      <c r="D27" s="63"/>
      <c r="E27" s="31">
        <v>4</v>
      </c>
      <c r="F27" s="7">
        <v>1</v>
      </c>
      <c r="I27" s="7">
        <v>1</v>
      </c>
    </row>
    <row r="28" spans="2:18" s="4" customFormat="1" ht="13.8" thickBot="1" x14ac:dyDescent="0.3">
      <c r="B28" s="58" t="s">
        <v>83</v>
      </c>
      <c r="C28" s="71"/>
      <c r="D28" s="64"/>
      <c r="E28" s="32">
        <v>5</v>
      </c>
      <c r="F28" s="8">
        <v>1</v>
      </c>
      <c r="I28" s="8">
        <v>1</v>
      </c>
      <c r="M28" s="8"/>
      <c r="O28" s="8"/>
      <c r="P28" s="22"/>
      <c r="R28" s="22"/>
    </row>
    <row r="29" spans="2:18" s="2" customFormat="1" ht="13.2" customHeight="1" x14ac:dyDescent="0.25">
      <c r="B29" s="56" t="s">
        <v>84</v>
      </c>
      <c r="C29" s="69" t="s">
        <v>5</v>
      </c>
      <c r="D29" s="63" t="s">
        <v>116</v>
      </c>
      <c r="E29" s="33">
        <v>1</v>
      </c>
      <c r="F29" s="7">
        <v>1</v>
      </c>
      <c r="I29" s="7">
        <v>1</v>
      </c>
      <c r="M29" s="7">
        <f>MAX(COUNT(I29:I33)+COUNT(K29:K33),COUNT(J29:J33)+COUNT(L29:L33))</f>
        <v>5</v>
      </c>
      <c r="N29" s="3">
        <f>M29/5</f>
        <v>1</v>
      </c>
      <c r="O29" s="7">
        <f>SUM(I29:I33,K29:K33)</f>
        <v>5</v>
      </c>
      <c r="P29" s="18">
        <f>O29/5</f>
        <v>1</v>
      </c>
      <c r="R29" s="47"/>
    </row>
    <row r="30" spans="2:18" x14ac:dyDescent="0.25">
      <c r="B30" s="57" t="s">
        <v>84</v>
      </c>
      <c r="C30" s="70"/>
      <c r="D30" s="63"/>
      <c r="E30" s="31">
        <v>2</v>
      </c>
      <c r="F30" s="7">
        <v>1</v>
      </c>
      <c r="I30" s="7">
        <v>1</v>
      </c>
    </row>
    <row r="31" spans="2:18" x14ac:dyDescent="0.25">
      <c r="B31" s="57" t="s">
        <v>84</v>
      </c>
      <c r="C31" s="70"/>
      <c r="D31" s="63"/>
      <c r="E31" s="31">
        <v>3</v>
      </c>
      <c r="F31" s="7">
        <v>1</v>
      </c>
      <c r="I31" s="7">
        <v>1</v>
      </c>
    </row>
    <row r="32" spans="2:18" x14ac:dyDescent="0.25">
      <c r="B32" s="57" t="s">
        <v>84</v>
      </c>
      <c r="C32" s="70"/>
      <c r="D32" s="63"/>
      <c r="E32" s="31">
        <v>4</v>
      </c>
      <c r="F32" s="7">
        <v>1</v>
      </c>
      <c r="I32" s="7">
        <v>1</v>
      </c>
    </row>
    <row r="33" spans="2:18" s="4" customFormat="1" ht="13.8" thickBot="1" x14ac:dyDescent="0.3">
      <c r="B33" s="58" t="s">
        <v>84</v>
      </c>
      <c r="C33" s="71"/>
      <c r="D33" s="64"/>
      <c r="E33" s="32">
        <v>5</v>
      </c>
      <c r="F33" s="8">
        <v>1</v>
      </c>
      <c r="I33" s="8">
        <v>1</v>
      </c>
      <c r="M33" s="8"/>
      <c r="O33" s="8"/>
      <c r="P33" s="22"/>
      <c r="R33" s="22"/>
    </row>
    <row r="34" spans="2:18" ht="13.2" customHeight="1" x14ac:dyDescent="0.25">
      <c r="B34" s="56" t="s">
        <v>84</v>
      </c>
      <c r="C34" s="72" t="s">
        <v>6</v>
      </c>
      <c r="D34" s="63" t="s">
        <v>116</v>
      </c>
      <c r="E34" s="31">
        <v>1</v>
      </c>
      <c r="F34" s="7">
        <v>1</v>
      </c>
      <c r="I34" s="7">
        <v>1</v>
      </c>
      <c r="M34" s="7">
        <f>MAX(COUNT(I34:I38)+COUNT(K34:K38),COUNT(J34:J38)+COUNT(L34:L38))</f>
        <v>4</v>
      </c>
      <c r="N34" s="3">
        <f>M34/5</f>
        <v>0.8</v>
      </c>
      <c r="O34" s="7">
        <f>SUM(I34:I38,K34:K38)</f>
        <v>4</v>
      </c>
      <c r="P34" s="18">
        <f>O34/5</f>
        <v>0.8</v>
      </c>
    </row>
    <row r="35" spans="2:18" x14ac:dyDescent="0.25">
      <c r="B35" s="57" t="s">
        <v>84</v>
      </c>
      <c r="C35" s="70"/>
      <c r="D35" s="63"/>
      <c r="E35" s="31">
        <v>2</v>
      </c>
      <c r="F35" s="7">
        <v>1</v>
      </c>
      <c r="L35" s="3">
        <v>1</v>
      </c>
    </row>
    <row r="36" spans="2:18" x14ac:dyDescent="0.25">
      <c r="B36" s="57" t="s">
        <v>84</v>
      </c>
      <c r="C36" s="70"/>
      <c r="D36" s="63"/>
      <c r="E36" s="31">
        <v>3</v>
      </c>
      <c r="F36" s="7">
        <v>1</v>
      </c>
      <c r="I36" s="7">
        <v>1</v>
      </c>
    </row>
    <row r="37" spans="2:18" x14ac:dyDescent="0.25">
      <c r="B37" s="57" t="s">
        <v>84</v>
      </c>
      <c r="C37" s="70"/>
      <c r="D37" s="63"/>
      <c r="E37" s="31">
        <v>4</v>
      </c>
      <c r="F37" s="7">
        <v>1</v>
      </c>
      <c r="I37" s="7">
        <v>1</v>
      </c>
    </row>
    <row r="38" spans="2:18" s="4" customFormat="1" ht="13.8" thickBot="1" x14ac:dyDescent="0.3">
      <c r="B38" s="58" t="s">
        <v>84</v>
      </c>
      <c r="C38" s="71"/>
      <c r="D38" s="64"/>
      <c r="E38" s="32">
        <v>5</v>
      </c>
      <c r="F38" s="8">
        <v>1</v>
      </c>
      <c r="I38" s="8">
        <v>1</v>
      </c>
      <c r="M38" s="8"/>
      <c r="O38" s="8"/>
      <c r="P38" s="22"/>
      <c r="R38" s="22"/>
    </row>
    <row r="39" spans="2:18" s="2" customFormat="1" x14ac:dyDescent="0.25">
      <c r="B39" s="56" t="s">
        <v>85</v>
      </c>
      <c r="C39" s="69" t="s">
        <v>7</v>
      </c>
      <c r="D39" s="63" t="s">
        <v>116</v>
      </c>
      <c r="E39" s="31">
        <v>1</v>
      </c>
      <c r="F39" s="7">
        <v>1</v>
      </c>
      <c r="I39" s="7"/>
      <c r="L39" s="2">
        <v>1</v>
      </c>
      <c r="M39" s="7">
        <f>MAX(COUNT(I39:I43)+COUNT(K39:K43),COUNT(J39:J43)+COUNT(L39:L43))</f>
        <v>4</v>
      </c>
      <c r="N39" s="3">
        <f>M39/5</f>
        <v>0.8</v>
      </c>
      <c r="O39" s="7">
        <f>SUM(I39:I43,K39:K43)</f>
        <v>1</v>
      </c>
      <c r="P39" s="18">
        <f>O39/5</f>
        <v>0.2</v>
      </c>
      <c r="R39" s="47"/>
    </row>
    <row r="40" spans="2:18" x14ac:dyDescent="0.25">
      <c r="B40" s="57" t="s">
        <v>85</v>
      </c>
      <c r="C40" s="70"/>
      <c r="D40" s="63"/>
      <c r="E40" s="31">
        <v>2</v>
      </c>
      <c r="F40" s="7">
        <v>1</v>
      </c>
      <c r="L40" s="3">
        <v>1</v>
      </c>
    </row>
    <row r="41" spans="2:18" x14ac:dyDescent="0.25">
      <c r="B41" s="57" t="s">
        <v>85</v>
      </c>
      <c r="C41" s="70"/>
      <c r="D41" s="63"/>
      <c r="E41" s="31">
        <v>3</v>
      </c>
      <c r="F41" s="7">
        <v>1</v>
      </c>
      <c r="L41" s="3">
        <v>1</v>
      </c>
    </row>
    <row r="42" spans="2:18" x14ac:dyDescent="0.25">
      <c r="B42" s="57" t="s">
        <v>85</v>
      </c>
      <c r="C42" s="70"/>
      <c r="D42" s="63"/>
      <c r="E42" s="31">
        <v>4</v>
      </c>
      <c r="G42" s="3">
        <v>1</v>
      </c>
      <c r="L42" s="3">
        <v>1</v>
      </c>
    </row>
    <row r="43" spans="2:18" s="4" customFormat="1" ht="13.8" thickBot="1" x14ac:dyDescent="0.3">
      <c r="B43" s="58" t="s">
        <v>85</v>
      </c>
      <c r="C43" s="71"/>
      <c r="D43" s="64"/>
      <c r="E43" s="32">
        <v>5</v>
      </c>
      <c r="F43" s="8">
        <v>1</v>
      </c>
      <c r="I43" s="8">
        <v>1</v>
      </c>
      <c r="M43" s="8"/>
      <c r="O43" s="8"/>
      <c r="P43" s="22"/>
      <c r="R43" s="22"/>
    </row>
    <row r="44" spans="2:18" s="2" customFormat="1" x14ac:dyDescent="0.25">
      <c r="B44" s="56" t="s">
        <v>85</v>
      </c>
      <c r="C44" s="69" t="s">
        <v>8</v>
      </c>
      <c r="D44" s="63" t="s">
        <v>116</v>
      </c>
      <c r="E44" s="31">
        <v>1</v>
      </c>
      <c r="F44" s="7">
        <v>1</v>
      </c>
      <c r="I44" s="7">
        <v>1</v>
      </c>
      <c r="M44" s="7">
        <f>MAX(COUNT(I44:I48)+COUNT(K44:K48),COUNT(J44:J48)+COUNT(L44:L48))</f>
        <v>5</v>
      </c>
      <c r="N44" s="3">
        <f>M44/5</f>
        <v>1</v>
      </c>
      <c r="O44" s="7">
        <f>SUM(I44:I48,K44:K48)</f>
        <v>5</v>
      </c>
      <c r="P44" s="18">
        <f>O44/5</f>
        <v>1</v>
      </c>
      <c r="R44" s="47"/>
    </row>
    <row r="45" spans="2:18" x14ac:dyDescent="0.25">
      <c r="B45" s="57" t="s">
        <v>85</v>
      </c>
      <c r="C45" s="70"/>
      <c r="D45" s="63"/>
      <c r="E45" s="31">
        <v>2</v>
      </c>
      <c r="F45" s="7">
        <v>1</v>
      </c>
      <c r="I45" s="7">
        <v>1</v>
      </c>
    </row>
    <row r="46" spans="2:18" x14ac:dyDescent="0.25">
      <c r="B46" s="57" t="s">
        <v>85</v>
      </c>
      <c r="C46" s="70"/>
      <c r="D46" s="63"/>
      <c r="E46" s="31">
        <v>3</v>
      </c>
      <c r="F46" s="7">
        <v>1</v>
      </c>
      <c r="I46" s="7">
        <v>1</v>
      </c>
    </row>
    <row r="47" spans="2:18" x14ac:dyDescent="0.25">
      <c r="B47" s="57" t="s">
        <v>85</v>
      </c>
      <c r="C47" s="70"/>
      <c r="D47" s="63"/>
      <c r="E47" s="31">
        <v>4</v>
      </c>
      <c r="F47" s="7">
        <v>1</v>
      </c>
      <c r="I47" s="7">
        <v>1</v>
      </c>
    </row>
    <row r="48" spans="2:18" s="4" customFormat="1" ht="33.6" customHeight="1" thickBot="1" x14ac:dyDescent="0.3">
      <c r="B48" s="58" t="s">
        <v>85</v>
      </c>
      <c r="C48" s="71"/>
      <c r="D48" s="64"/>
      <c r="E48" s="32">
        <v>5</v>
      </c>
      <c r="F48" s="8">
        <v>1</v>
      </c>
      <c r="I48" s="8">
        <v>1</v>
      </c>
      <c r="M48" s="8"/>
      <c r="O48" s="8"/>
      <c r="P48" s="22"/>
      <c r="R48" s="22"/>
    </row>
    <row r="49" spans="2:18" s="2" customFormat="1" x14ac:dyDescent="0.25">
      <c r="B49" s="56" t="s">
        <v>85</v>
      </c>
      <c r="C49" s="69" t="s">
        <v>9</v>
      </c>
      <c r="D49" s="63" t="s">
        <v>116</v>
      </c>
      <c r="E49" s="31">
        <v>1</v>
      </c>
      <c r="F49" s="7">
        <v>1</v>
      </c>
      <c r="I49" s="7">
        <v>1</v>
      </c>
      <c r="M49" s="7">
        <f>MAX(COUNT(I49:I53)+COUNT(K49:K53),COUNT(J49:J53)+COUNT(L49:L53))</f>
        <v>5</v>
      </c>
      <c r="N49" s="3">
        <f>M49/5</f>
        <v>1</v>
      </c>
      <c r="O49" s="7">
        <f>SUM(I49:I53,K49:K53)</f>
        <v>5</v>
      </c>
      <c r="P49" s="18">
        <f>O49/5</f>
        <v>1</v>
      </c>
      <c r="R49" s="47"/>
    </row>
    <row r="50" spans="2:18" x14ac:dyDescent="0.25">
      <c r="B50" s="57" t="s">
        <v>85</v>
      </c>
      <c r="C50" s="70"/>
      <c r="D50" s="63"/>
      <c r="E50" s="31">
        <v>2</v>
      </c>
      <c r="F50" s="7">
        <v>1</v>
      </c>
      <c r="I50" s="7">
        <v>1</v>
      </c>
    </row>
    <row r="51" spans="2:18" x14ac:dyDescent="0.25">
      <c r="B51" s="57" t="s">
        <v>85</v>
      </c>
      <c r="C51" s="70"/>
      <c r="D51" s="63"/>
      <c r="E51" s="31">
        <v>3</v>
      </c>
      <c r="F51" s="7">
        <v>1</v>
      </c>
      <c r="I51" s="7">
        <v>1</v>
      </c>
    </row>
    <row r="52" spans="2:18" x14ac:dyDescent="0.25">
      <c r="B52" s="57" t="s">
        <v>85</v>
      </c>
      <c r="C52" s="70"/>
      <c r="D52" s="63"/>
      <c r="E52" s="31">
        <v>4</v>
      </c>
      <c r="F52" s="7">
        <v>1</v>
      </c>
      <c r="I52" s="7">
        <v>1</v>
      </c>
    </row>
    <row r="53" spans="2:18" s="4" customFormat="1" ht="32.4" customHeight="1" thickBot="1" x14ac:dyDescent="0.3">
      <c r="B53" s="58" t="s">
        <v>85</v>
      </c>
      <c r="C53" s="71"/>
      <c r="D53" s="64"/>
      <c r="E53" s="32">
        <v>5</v>
      </c>
      <c r="F53" s="8">
        <v>1</v>
      </c>
      <c r="I53" s="8">
        <v>1</v>
      </c>
      <c r="M53" s="8"/>
      <c r="O53" s="8"/>
      <c r="P53" s="22"/>
      <c r="R53" s="22"/>
    </row>
    <row r="54" spans="2:18" s="2" customFormat="1" x14ac:dyDescent="0.25">
      <c r="B54" s="56" t="s">
        <v>85</v>
      </c>
      <c r="C54" s="69" t="s">
        <v>10</v>
      </c>
      <c r="D54" s="63" t="s">
        <v>116</v>
      </c>
      <c r="E54" s="31">
        <v>1</v>
      </c>
      <c r="F54" s="7">
        <v>1</v>
      </c>
      <c r="I54" s="9"/>
      <c r="L54" s="2">
        <v>1</v>
      </c>
      <c r="M54" s="7">
        <f>MAX(COUNT(I54:I58)+COUNT(K54:K58),COUNT(J54:J58)+COUNT(L54:L58))</f>
        <v>3</v>
      </c>
      <c r="N54" s="3">
        <f>M54/5</f>
        <v>0.6</v>
      </c>
      <c r="O54" s="7">
        <f>SUM(I54:I58,K54:K58)</f>
        <v>2</v>
      </c>
      <c r="P54" s="18">
        <f>O54/5</f>
        <v>0.4</v>
      </c>
      <c r="R54" s="47"/>
    </row>
    <row r="55" spans="2:18" x14ac:dyDescent="0.25">
      <c r="B55" s="57" t="s">
        <v>85</v>
      </c>
      <c r="C55" s="70"/>
      <c r="D55" s="63"/>
      <c r="E55" s="31">
        <v>2</v>
      </c>
      <c r="F55" s="7">
        <v>1</v>
      </c>
      <c r="I55" s="7">
        <v>1</v>
      </c>
    </row>
    <row r="56" spans="2:18" x14ac:dyDescent="0.25">
      <c r="B56" s="57" t="s">
        <v>85</v>
      </c>
      <c r="C56" s="70"/>
      <c r="D56" s="63"/>
      <c r="E56" s="31">
        <v>3</v>
      </c>
      <c r="F56" s="7">
        <v>1</v>
      </c>
      <c r="L56" s="3">
        <v>1</v>
      </c>
    </row>
    <row r="57" spans="2:18" x14ac:dyDescent="0.25">
      <c r="B57" s="57" t="s">
        <v>85</v>
      </c>
      <c r="C57" s="70"/>
      <c r="D57" s="63"/>
      <c r="E57" s="31">
        <v>4</v>
      </c>
      <c r="F57" s="7">
        <v>1</v>
      </c>
      <c r="L57" s="3">
        <v>1</v>
      </c>
    </row>
    <row r="58" spans="2:18" s="4" customFormat="1" ht="13.8" thickBot="1" x14ac:dyDescent="0.3">
      <c r="B58" s="58" t="s">
        <v>85</v>
      </c>
      <c r="C58" s="71"/>
      <c r="D58" s="64"/>
      <c r="E58" s="32">
        <v>5</v>
      </c>
      <c r="F58" s="8">
        <v>1</v>
      </c>
      <c r="I58" s="8"/>
      <c r="K58" s="4">
        <v>1</v>
      </c>
      <c r="M58" s="8"/>
      <c r="O58" s="8"/>
      <c r="P58" s="22"/>
      <c r="R58" s="22"/>
    </row>
    <row r="59" spans="2:18" x14ac:dyDescent="0.25">
      <c r="B59" s="56" t="s">
        <v>85</v>
      </c>
      <c r="C59" s="70" t="s">
        <v>11</v>
      </c>
      <c r="D59" s="63" t="s">
        <v>116</v>
      </c>
      <c r="E59" s="31">
        <v>1</v>
      </c>
      <c r="F59" s="7">
        <v>1</v>
      </c>
      <c r="I59" s="7">
        <v>1</v>
      </c>
      <c r="L59" s="2"/>
      <c r="M59" s="7">
        <f>MAX(COUNT(I59:I63)+COUNT(K59:K63),COUNT(J59:J63)+COUNT(L59:L63))</f>
        <v>3</v>
      </c>
      <c r="N59" s="3">
        <f>M59/5</f>
        <v>0.6</v>
      </c>
      <c r="O59" s="7">
        <f>SUM(I59:I63,K59:K63)</f>
        <v>2</v>
      </c>
      <c r="P59" s="18">
        <f>O59/5</f>
        <v>0.4</v>
      </c>
    </row>
    <row r="60" spans="2:18" x14ac:dyDescent="0.25">
      <c r="B60" s="57" t="s">
        <v>85</v>
      </c>
      <c r="C60" s="70"/>
      <c r="D60" s="63"/>
      <c r="E60" s="31">
        <v>2</v>
      </c>
      <c r="F60" s="7">
        <v>1</v>
      </c>
      <c r="I60" s="7">
        <v>1</v>
      </c>
    </row>
    <row r="61" spans="2:18" x14ac:dyDescent="0.25">
      <c r="B61" s="57" t="s">
        <v>85</v>
      </c>
      <c r="C61" s="70"/>
      <c r="D61" s="63"/>
      <c r="E61" s="31">
        <v>3</v>
      </c>
      <c r="F61" s="7">
        <v>1</v>
      </c>
      <c r="L61" s="3">
        <v>1</v>
      </c>
    </row>
    <row r="62" spans="2:18" x14ac:dyDescent="0.25">
      <c r="B62" s="57" t="s">
        <v>85</v>
      </c>
      <c r="C62" s="70"/>
      <c r="D62" s="63"/>
      <c r="E62" s="31">
        <v>4</v>
      </c>
      <c r="F62" s="7">
        <v>1</v>
      </c>
      <c r="L62" s="3">
        <v>1</v>
      </c>
    </row>
    <row r="63" spans="2:18" s="4" customFormat="1" ht="13.8" thickBot="1" x14ac:dyDescent="0.3">
      <c r="B63" s="58" t="s">
        <v>85</v>
      </c>
      <c r="C63" s="71"/>
      <c r="D63" s="64"/>
      <c r="E63" s="32">
        <v>5</v>
      </c>
      <c r="F63" s="8">
        <v>1</v>
      </c>
      <c r="I63" s="8"/>
      <c r="L63" s="4">
        <v>1</v>
      </c>
      <c r="M63" s="8"/>
      <c r="O63" s="8"/>
      <c r="P63" s="22"/>
      <c r="R63" s="22"/>
    </row>
    <row r="64" spans="2:18" s="2" customFormat="1" x14ac:dyDescent="0.25">
      <c r="B64" s="56" t="s">
        <v>85</v>
      </c>
      <c r="C64" s="69" t="s">
        <v>12</v>
      </c>
      <c r="D64" s="63" t="s">
        <v>116</v>
      </c>
      <c r="E64" s="31">
        <v>1</v>
      </c>
      <c r="F64" s="7">
        <v>1</v>
      </c>
      <c r="I64" s="7"/>
      <c r="K64" s="2">
        <v>1</v>
      </c>
      <c r="M64" s="7">
        <f>MAX(COUNT(I64:I68)+COUNT(K64:K68),COUNT(J64:J68)+COUNT(L64:L68))</f>
        <v>5</v>
      </c>
      <c r="N64" s="3">
        <f>M64/5</f>
        <v>1</v>
      </c>
      <c r="O64" s="7">
        <f>SUM(I64:I68,K64:K68)</f>
        <v>5</v>
      </c>
      <c r="P64" s="18">
        <f>O64/5</f>
        <v>1</v>
      </c>
      <c r="R64" s="47"/>
    </row>
    <row r="65" spans="2:18" x14ac:dyDescent="0.25">
      <c r="B65" s="57" t="s">
        <v>85</v>
      </c>
      <c r="C65" s="70"/>
      <c r="D65" s="63"/>
      <c r="E65" s="31">
        <v>2</v>
      </c>
      <c r="F65" s="7">
        <v>1</v>
      </c>
      <c r="K65" s="3">
        <v>1</v>
      </c>
    </row>
    <row r="66" spans="2:18" x14ac:dyDescent="0.25">
      <c r="B66" s="57" t="s">
        <v>85</v>
      </c>
      <c r="C66" s="70"/>
      <c r="D66" s="63"/>
      <c r="E66" s="31">
        <v>3</v>
      </c>
      <c r="F66" s="7">
        <v>1</v>
      </c>
      <c r="K66" s="3">
        <v>1</v>
      </c>
    </row>
    <row r="67" spans="2:18" x14ac:dyDescent="0.25">
      <c r="B67" s="57" t="s">
        <v>85</v>
      </c>
      <c r="C67" s="70"/>
      <c r="D67" s="63"/>
      <c r="E67" s="31">
        <v>4</v>
      </c>
      <c r="F67" s="7">
        <v>1</v>
      </c>
      <c r="K67" s="3">
        <v>1</v>
      </c>
    </row>
    <row r="68" spans="2:18" s="4" customFormat="1" ht="13.8" thickBot="1" x14ac:dyDescent="0.3">
      <c r="B68" s="58" t="s">
        <v>85</v>
      </c>
      <c r="C68" s="71"/>
      <c r="D68" s="64"/>
      <c r="E68" s="32">
        <v>5</v>
      </c>
      <c r="F68" s="8">
        <v>1</v>
      </c>
      <c r="I68" s="8"/>
      <c r="K68" s="4">
        <v>1</v>
      </c>
      <c r="M68" s="8"/>
      <c r="O68" s="8"/>
      <c r="P68" s="22"/>
      <c r="R68" s="22"/>
    </row>
    <row r="69" spans="2:18" s="2" customFormat="1" x14ac:dyDescent="0.25">
      <c r="B69" s="56" t="s">
        <v>85</v>
      </c>
      <c r="C69" s="69" t="s">
        <v>13</v>
      </c>
      <c r="D69" s="63" t="s">
        <v>116</v>
      </c>
      <c r="E69" s="31">
        <v>1</v>
      </c>
      <c r="F69" s="7">
        <v>1</v>
      </c>
      <c r="I69" s="9"/>
      <c r="L69" s="2">
        <v>1</v>
      </c>
      <c r="M69" s="7">
        <f>MAX(COUNT(I69:I73)+COUNT(K69:K73),COUNT(J69:J73)+COUNT(L69:L73))</f>
        <v>4</v>
      </c>
      <c r="N69" s="3">
        <f>M69/5</f>
        <v>0.8</v>
      </c>
      <c r="O69" s="7">
        <f>SUM(I69:I73,K69:K73)</f>
        <v>4</v>
      </c>
      <c r="P69" s="18">
        <f>O69/5</f>
        <v>0.8</v>
      </c>
      <c r="R69" s="47"/>
    </row>
    <row r="70" spans="2:18" x14ac:dyDescent="0.25">
      <c r="B70" s="57" t="s">
        <v>85</v>
      </c>
      <c r="C70" s="70"/>
      <c r="D70" s="63"/>
      <c r="E70" s="31">
        <v>2</v>
      </c>
      <c r="F70" s="7">
        <v>1</v>
      </c>
      <c r="I70" s="7">
        <v>1</v>
      </c>
    </row>
    <row r="71" spans="2:18" x14ac:dyDescent="0.25">
      <c r="B71" s="57" t="s">
        <v>85</v>
      </c>
      <c r="C71" s="70"/>
      <c r="D71" s="63"/>
      <c r="E71" s="31">
        <v>3</v>
      </c>
      <c r="F71" s="7">
        <v>1</v>
      </c>
      <c r="I71" s="7">
        <v>1</v>
      </c>
    </row>
    <row r="72" spans="2:18" x14ac:dyDescent="0.25">
      <c r="B72" s="57" t="s">
        <v>85</v>
      </c>
      <c r="C72" s="70"/>
      <c r="D72" s="63"/>
      <c r="E72" s="31">
        <v>4</v>
      </c>
      <c r="F72" s="7">
        <v>1</v>
      </c>
      <c r="I72" s="7">
        <v>1</v>
      </c>
    </row>
    <row r="73" spans="2:18" s="4" customFormat="1" ht="13.8" thickBot="1" x14ac:dyDescent="0.3">
      <c r="B73" s="58" t="s">
        <v>85</v>
      </c>
      <c r="C73" s="71"/>
      <c r="D73" s="64"/>
      <c r="E73" s="32">
        <v>5</v>
      </c>
      <c r="F73" s="8">
        <v>1</v>
      </c>
      <c r="I73" s="8">
        <v>1</v>
      </c>
      <c r="M73" s="8"/>
      <c r="O73" s="8"/>
      <c r="P73" s="22"/>
      <c r="R73" s="22"/>
    </row>
    <row r="74" spans="2:18" s="2" customFormat="1" x14ac:dyDescent="0.25">
      <c r="B74" s="56" t="s">
        <v>85</v>
      </c>
      <c r="C74" s="69" t="s">
        <v>14</v>
      </c>
      <c r="D74" s="63" t="s">
        <v>116</v>
      </c>
      <c r="E74" s="31">
        <v>1</v>
      </c>
      <c r="F74" s="7">
        <v>1</v>
      </c>
      <c r="I74" s="7">
        <v>1</v>
      </c>
      <c r="M74" s="7">
        <f>MAX(COUNT(I74:I78)+COUNT(K74:K78),COUNT(J74:J78)+COUNT(L74:L78))</f>
        <v>5</v>
      </c>
      <c r="N74" s="3">
        <f>M74/5</f>
        <v>1</v>
      </c>
      <c r="O74" s="7">
        <f>SUM(I74:I78,K74:K78)</f>
        <v>5</v>
      </c>
      <c r="P74" s="18">
        <f>O74/5</f>
        <v>1</v>
      </c>
      <c r="R74" s="47"/>
    </row>
    <row r="75" spans="2:18" x14ac:dyDescent="0.25">
      <c r="B75" s="57" t="s">
        <v>85</v>
      </c>
      <c r="C75" s="70"/>
      <c r="D75" s="63"/>
      <c r="E75" s="31">
        <v>2</v>
      </c>
      <c r="F75" s="7">
        <v>1</v>
      </c>
      <c r="I75" s="7">
        <v>1</v>
      </c>
    </row>
    <row r="76" spans="2:18" x14ac:dyDescent="0.25">
      <c r="B76" s="57" t="s">
        <v>85</v>
      </c>
      <c r="C76" s="70"/>
      <c r="D76" s="63"/>
      <c r="E76" s="31">
        <v>3</v>
      </c>
      <c r="F76" s="7">
        <v>1</v>
      </c>
      <c r="I76" s="7">
        <v>1</v>
      </c>
    </row>
    <row r="77" spans="2:18" x14ac:dyDescent="0.25">
      <c r="B77" s="57" t="s">
        <v>85</v>
      </c>
      <c r="C77" s="70"/>
      <c r="D77" s="63"/>
      <c r="E77" s="31">
        <v>4</v>
      </c>
      <c r="F77" s="7">
        <v>1</v>
      </c>
      <c r="I77" s="7">
        <v>1</v>
      </c>
    </row>
    <row r="78" spans="2:18" s="4" customFormat="1" ht="13.8" thickBot="1" x14ac:dyDescent="0.3">
      <c r="B78" s="58" t="s">
        <v>85</v>
      </c>
      <c r="C78" s="71"/>
      <c r="D78" s="64"/>
      <c r="E78" s="32">
        <v>5</v>
      </c>
      <c r="F78" s="8">
        <v>1</v>
      </c>
      <c r="I78" s="8">
        <v>1</v>
      </c>
      <c r="M78" s="8"/>
      <c r="O78" s="8"/>
      <c r="P78" s="22"/>
      <c r="R78" s="22"/>
    </row>
    <row r="79" spans="2:18" ht="27" customHeight="1" x14ac:dyDescent="0.25">
      <c r="B79" s="56" t="s">
        <v>85</v>
      </c>
      <c r="C79" s="69" t="s">
        <v>15</v>
      </c>
      <c r="D79" s="63" t="s">
        <v>116</v>
      </c>
      <c r="E79" s="31">
        <v>1</v>
      </c>
      <c r="F79" s="7">
        <v>1</v>
      </c>
      <c r="L79" s="2">
        <v>1</v>
      </c>
      <c r="M79" s="7">
        <f>MAX(COUNT(I79:I83)+COUNT(K79:K83),COUNT(J79:J83)+COUNT(L79:L83))</f>
        <v>5</v>
      </c>
      <c r="N79" s="3">
        <f>M79/5</f>
        <v>1</v>
      </c>
      <c r="O79" s="7">
        <f>SUM(I79:I83,K79:K83)</f>
        <v>0</v>
      </c>
      <c r="P79" s="18">
        <f>O79/5</f>
        <v>0</v>
      </c>
    </row>
    <row r="80" spans="2:18" x14ac:dyDescent="0.25">
      <c r="B80" s="57" t="s">
        <v>85</v>
      </c>
      <c r="C80" s="70"/>
      <c r="D80" s="63"/>
      <c r="E80" s="31">
        <v>2</v>
      </c>
      <c r="F80" s="7">
        <v>1</v>
      </c>
      <c r="L80" s="3">
        <v>1</v>
      </c>
    </row>
    <row r="81" spans="2:18" x14ac:dyDescent="0.25">
      <c r="B81" s="57" t="s">
        <v>85</v>
      </c>
      <c r="C81" s="70"/>
      <c r="D81" s="63"/>
      <c r="E81" s="31">
        <v>3</v>
      </c>
      <c r="F81" s="7">
        <v>1</v>
      </c>
      <c r="L81" s="3">
        <v>1</v>
      </c>
    </row>
    <row r="82" spans="2:18" x14ac:dyDescent="0.25">
      <c r="B82" s="57" t="s">
        <v>85</v>
      </c>
      <c r="C82" s="70"/>
      <c r="D82" s="63"/>
      <c r="E82" s="31">
        <v>4</v>
      </c>
      <c r="F82" s="7">
        <v>1</v>
      </c>
      <c r="L82" s="3">
        <v>1</v>
      </c>
    </row>
    <row r="83" spans="2:18" s="4" customFormat="1" ht="13.8" thickBot="1" x14ac:dyDescent="0.3">
      <c r="B83" s="58" t="s">
        <v>85</v>
      </c>
      <c r="C83" s="71"/>
      <c r="D83" s="64"/>
      <c r="E83" s="32">
        <v>5</v>
      </c>
      <c r="F83" s="8">
        <v>1</v>
      </c>
      <c r="I83" s="8"/>
      <c r="L83" s="4">
        <v>1</v>
      </c>
      <c r="M83" s="8"/>
      <c r="O83" s="8"/>
      <c r="P83" s="22"/>
      <c r="R83" s="22"/>
    </row>
    <row r="84" spans="2:18" s="2" customFormat="1" x14ac:dyDescent="0.25">
      <c r="B84" s="56" t="s">
        <v>85</v>
      </c>
      <c r="C84" s="69" t="s">
        <v>16</v>
      </c>
      <c r="D84" s="63" t="s">
        <v>116</v>
      </c>
      <c r="E84" s="31">
        <v>1</v>
      </c>
      <c r="F84" s="9">
        <v>1</v>
      </c>
      <c r="I84" s="9">
        <v>1</v>
      </c>
      <c r="M84" s="7">
        <f>MAX(COUNT(I84:I88)+COUNT(K84:K88),COUNT(J84:J88)+COUNT(L84:L88))</f>
        <v>3</v>
      </c>
      <c r="N84" s="3">
        <f>M84/5</f>
        <v>0.6</v>
      </c>
      <c r="O84" s="7">
        <f>SUM(I84:I88,K84:K88)</f>
        <v>2</v>
      </c>
      <c r="P84" s="18">
        <f>O84/5</f>
        <v>0.4</v>
      </c>
      <c r="R84" s="47"/>
    </row>
    <row r="85" spans="2:18" x14ac:dyDescent="0.25">
      <c r="B85" s="57" t="s">
        <v>85</v>
      </c>
      <c r="C85" s="70"/>
      <c r="D85" s="63"/>
      <c r="E85" s="31">
        <v>2</v>
      </c>
      <c r="F85" s="7">
        <v>1</v>
      </c>
      <c r="I85" s="7">
        <v>1</v>
      </c>
    </row>
    <row r="86" spans="2:18" x14ac:dyDescent="0.25">
      <c r="B86" s="57" t="s">
        <v>85</v>
      </c>
      <c r="C86" s="70"/>
      <c r="D86" s="63"/>
      <c r="E86" s="31">
        <v>3</v>
      </c>
      <c r="F86" s="7">
        <v>1</v>
      </c>
      <c r="L86" s="3">
        <v>1</v>
      </c>
    </row>
    <row r="87" spans="2:18" x14ac:dyDescent="0.25">
      <c r="B87" s="57" t="s">
        <v>85</v>
      </c>
      <c r="C87" s="70"/>
      <c r="D87" s="63"/>
      <c r="E87" s="31">
        <v>4</v>
      </c>
      <c r="F87" s="7">
        <v>1</v>
      </c>
      <c r="L87" s="3">
        <v>1</v>
      </c>
    </row>
    <row r="88" spans="2:18" s="4" customFormat="1" ht="13.8" thickBot="1" x14ac:dyDescent="0.3">
      <c r="B88" s="58" t="s">
        <v>85</v>
      </c>
      <c r="C88" s="71"/>
      <c r="D88" s="64"/>
      <c r="E88" s="32">
        <v>5</v>
      </c>
      <c r="F88" s="8">
        <v>1</v>
      </c>
      <c r="I88" s="8"/>
      <c r="L88" s="4">
        <v>1</v>
      </c>
      <c r="M88" s="8"/>
      <c r="O88" s="8"/>
      <c r="P88" s="22"/>
      <c r="R88" s="22"/>
    </row>
    <row r="89" spans="2:18" s="2" customFormat="1" x14ac:dyDescent="0.25">
      <c r="B89" s="56" t="s">
        <v>85</v>
      </c>
      <c r="C89" s="69" t="s">
        <v>17</v>
      </c>
      <c r="D89" s="63" t="s">
        <v>116</v>
      </c>
      <c r="E89" s="31">
        <v>1</v>
      </c>
      <c r="F89" s="9">
        <v>1</v>
      </c>
      <c r="I89" s="9">
        <v>1</v>
      </c>
      <c r="M89" s="7">
        <f>MAX(COUNT(I89:I93)+COUNT(K89:K93),COUNT(J89:J93)+COUNT(L89:L93))</f>
        <v>4</v>
      </c>
      <c r="N89" s="3">
        <f>M89/5</f>
        <v>0.8</v>
      </c>
      <c r="O89" s="7">
        <f>SUM(I89:I93,K89:K93)</f>
        <v>4</v>
      </c>
      <c r="P89" s="18">
        <f>O89/5</f>
        <v>0.8</v>
      </c>
      <c r="R89" s="47"/>
    </row>
    <row r="90" spans="2:18" x14ac:dyDescent="0.25">
      <c r="B90" s="57" t="s">
        <v>85</v>
      </c>
      <c r="C90" s="70"/>
      <c r="D90" s="63"/>
      <c r="E90" s="31">
        <v>2</v>
      </c>
      <c r="F90" s="7">
        <v>1</v>
      </c>
      <c r="I90" s="7">
        <v>1</v>
      </c>
    </row>
    <row r="91" spans="2:18" x14ac:dyDescent="0.25">
      <c r="B91" s="57" t="s">
        <v>85</v>
      </c>
      <c r="C91" s="70"/>
      <c r="D91" s="63"/>
      <c r="E91" s="31">
        <v>3</v>
      </c>
      <c r="F91" s="7">
        <v>1</v>
      </c>
      <c r="K91" s="3">
        <v>1</v>
      </c>
    </row>
    <row r="92" spans="2:18" x14ac:dyDescent="0.25">
      <c r="B92" s="57" t="s">
        <v>85</v>
      </c>
      <c r="C92" s="70"/>
      <c r="D92" s="63"/>
      <c r="E92" s="31">
        <v>4</v>
      </c>
      <c r="F92" s="7">
        <v>1</v>
      </c>
      <c r="K92" s="3">
        <v>1</v>
      </c>
    </row>
    <row r="93" spans="2:18" s="4" customFormat="1" ht="13.8" thickBot="1" x14ac:dyDescent="0.3">
      <c r="B93" s="58" t="s">
        <v>85</v>
      </c>
      <c r="C93" s="71"/>
      <c r="D93" s="64"/>
      <c r="E93" s="32">
        <v>5</v>
      </c>
      <c r="F93" s="8">
        <v>1</v>
      </c>
      <c r="I93" s="8"/>
      <c r="L93" s="4">
        <v>1</v>
      </c>
      <c r="M93" s="8"/>
      <c r="O93" s="8"/>
      <c r="P93" s="22"/>
      <c r="R93" s="22"/>
    </row>
    <row r="94" spans="2:18" s="2" customFormat="1" x14ac:dyDescent="0.25">
      <c r="B94" s="56" t="s">
        <v>85</v>
      </c>
      <c r="C94" s="69" t="s">
        <v>77</v>
      </c>
      <c r="D94" s="63" t="s">
        <v>116</v>
      </c>
      <c r="E94" s="31">
        <v>1</v>
      </c>
      <c r="F94" s="9">
        <v>1</v>
      </c>
      <c r="I94" s="9"/>
      <c r="L94" s="2">
        <v>1</v>
      </c>
      <c r="M94" s="7">
        <f>MAX(COUNT(I94:I98)+COUNT(K94:K98),COUNT(J94:J98)+COUNT(L94:L98))</f>
        <v>5</v>
      </c>
      <c r="N94" s="3">
        <f>M94/5</f>
        <v>1</v>
      </c>
      <c r="O94" s="7">
        <f>SUM(I94:I98,K94:K98)</f>
        <v>0</v>
      </c>
      <c r="P94" s="18">
        <f>O94/5</f>
        <v>0</v>
      </c>
      <c r="R94" s="47"/>
    </row>
    <row r="95" spans="2:18" x14ac:dyDescent="0.25">
      <c r="B95" s="57" t="s">
        <v>85</v>
      </c>
      <c r="C95" s="70"/>
      <c r="D95" s="63"/>
      <c r="E95" s="31">
        <v>2</v>
      </c>
      <c r="F95" s="7">
        <v>1</v>
      </c>
      <c r="L95" s="3">
        <v>1</v>
      </c>
    </row>
    <row r="96" spans="2:18" x14ac:dyDescent="0.25">
      <c r="B96" s="57" t="s">
        <v>85</v>
      </c>
      <c r="C96" s="70"/>
      <c r="D96" s="63"/>
      <c r="E96" s="31">
        <v>3</v>
      </c>
      <c r="F96" s="7">
        <v>1</v>
      </c>
      <c r="L96" s="3">
        <v>1</v>
      </c>
    </row>
    <row r="97" spans="2:18" x14ac:dyDescent="0.25">
      <c r="B97" s="57" t="s">
        <v>85</v>
      </c>
      <c r="C97" s="70"/>
      <c r="D97" s="63"/>
      <c r="E97" s="31">
        <v>4</v>
      </c>
      <c r="F97" s="7">
        <v>1</v>
      </c>
      <c r="L97" s="3">
        <v>1</v>
      </c>
    </row>
    <row r="98" spans="2:18" s="4" customFormat="1" ht="13.8" thickBot="1" x14ac:dyDescent="0.3">
      <c r="B98" s="58" t="s">
        <v>85</v>
      </c>
      <c r="C98" s="71"/>
      <c r="D98" s="64"/>
      <c r="E98" s="32">
        <v>5</v>
      </c>
      <c r="F98" s="8">
        <v>1</v>
      </c>
      <c r="I98" s="8"/>
      <c r="L98" s="4">
        <v>1</v>
      </c>
      <c r="M98" s="8"/>
      <c r="O98" s="8"/>
      <c r="P98" s="22"/>
      <c r="R98" s="22"/>
    </row>
    <row r="99" spans="2:18" s="2" customFormat="1" x14ac:dyDescent="0.25">
      <c r="B99" s="56" t="s">
        <v>85</v>
      </c>
      <c r="C99" s="69" t="s">
        <v>78</v>
      </c>
      <c r="D99" s="63" t="s">
        <v>116</v>
      </c>
      <c r="E99" s="31">
        <v>1</v>
      </c>
      <c r="F99" s="9">
        <v>1</v>
      </c>
      <c r="I99" s="9"/>
      <c r="L99" s="2">
        <v>1</v>
      </c>
      <c r="M99" s="7">
        <f>MAX(COUNT(I99:I103)+COUNT(K99:K103),COUNT(J99:J103)+COUNT(L99:L103))</f>
        <v>5</v>
      </c>
      <c r="N99" s="3">
        <f>M99/5</f>
        <v>1</v>
      </c>
      <c r="O99" s="7">
        <f>SUM(I99:I103,K99:K103)</f>
        <v>0</v>
      </c>
      <c r="P99" s="18">
        <f>O99/5</f>
        <v>0</v>
      </c>
      <c r="R99" s="47"/>
    </row>
    <row r="100" spans="2:18" x14ac:dyDescent="0.25">
      <c r="B100" s="57" t="s">
        <v>85</v>
      </c>
      <c r="C100" s="70"/>
      <c r="D100" s="63"/>
      <c r="E100" s="31">
        <v>2</v>
      </c>
      <c r="F100" s="7">
        <v>1</v>
      </c>
      <c r="L100" s="3">
        <v>1</v>
      </c>
    </row>
    <row r="101" spans="2:18" x14ac:dyDescent="0.25">
      <c r="B101" s="57" t="s">
        <v>85</v>
      </c>
      <c r="C101" s="70"/>
      <c r="D101" s="63"/>
      <c r="E101" s="31">
        <v>3</v>
      </c>
      <c r="F101" s="7">
        <v>1</v>
      </c>
      <c r="L101" s="3">
        <v>1</v>
      </c>
    </row>
    <row r="102" spans="2:18" x14ac:dyDescent="0.25">
      <c r="B102" s="57" t="s">
        <v>85</v>
      </c>
      <c r="C102" s="70"/>
      <c r="D102" s="63"/>
      <c r="E102" s="31">
        <v>4</v>
      </c>
      <c r="F102" s="7">
        <v>1</v>
      </c>
      <c r="L102" s="3">
        <v>1</v>
      </c>
    </row>
    <row r="103" spans="2:18" s="4" customFormat="1" ht="13.8" thickBot="1" x14ac:dyDescent="0.3">
      <c r="B103" s="58" t="s">
        <v>85</v>
      </c>
      <c r="C103" s="71"/>
      <c r="D103" s="64"/>
      <c r="E103" s="32">
        <v>5</v>
      </c>
      <c r="F103" s="8">
        <v>1</v>
      </c>
      <c r="I103" s="8"/>
      <c r="L103" s="4">
        <v>1</v>
      </c>
      <c r="M103" s="8"/>
      <c r="O103" s="8"/>
      <c r="P103" s="22"/>
      <c r="R103" s="22"/>
    </row>
    <row r="104" spans="2:18" s="2" customFormat="1" ht="27" customHeight="1" x14ac:dyDescent="0.25">
      <c r="B104" s="56" t="s">
        <v>86</v>
      </c>
      <c r="C104" s="69" t="s">
        <v>18</v>
      </c>
      <c r="D104" s="63" t="s">
        <v>116</v>
      </c>
      <c r="E104" s="31">
        <v>1</v>
      </c>
      <c r="F104" s="9">
        <v>1</v>
      </c>
      <c r="I104" s="9">
        <v>1</v>
      </c>
      <c r="M104" s="7">
        <f>MAX(COUNT(I104:I108)+COUNT(K104:K108),COUNT(J104:J108)+COUNT(L104:L108))</f>
        <v>5</v>
      </c>
      <c r="N104" s="3">
        <f>M104/5</f>
        <v>1</v>
      </c>
      <c r="O104" s="7">
        <f>SUM(I104:I108,K104:K108)</f>
        <v>5</v>
      </c>
      <c r="P104" s="18">
        <f>O104/5</f>
        <v>1</v>
      </c>
      <c r="R104" s="47"/>
    </row>
    <row r="105" spans="2:18" x14ac:dyDescent="0.25">
      <c r="B105" s="57" t="s">
        <v>86</v>
      </c>
      <c r="C105" s="70"/>
      <c r="D105" s="63"/>
      <c r="E105" s="31">
        <v>2</v>
      </c>
      <c r="F105" s="7">
        <v>1</v>
      </c>
      <c r="I105" s="7">
        <v>1</v>
      </c>
    </row>
    <row r="106" spans="2:18" x14ac:dyDescent="0.25">
      <c r="B106" s="57" t="s">
        <v>86</v>
      </c>
      <c r="C106" s="70"/>
      <c r="D106" s="63"/>
      <c r="E106" s="31">
        <v>3</v>
      </c>
      <c r="F106" s="7">
        <v>1</v>
      </c>
      <c r="I106" s="7">
        <v>1</v>
      </c>
    </row>
    <row r="107" spans="2:18" x14ac:dyDescent="0.25">
      <c r="B107" s="57" t="s">
        <v>86</v>
      </c>
      <c r="C107" s="70"/>
      <c r="D107" s="63"/>
      <c r="E107" s="31">
        <v>4</v>
      </c>
      <c r="F107" s="7">
        <v>1</v>
      </c>
      <c r="I107" s="7">
        <v>1</v>
      </c>
    </row>
    <row r="108" spans="2:18" s="4" customFormat="1" ht="42" customHeight="1" thickBot="1" x14ac:dyDescent="0.3">
      <c r="B108" s="58" t="s">
        <v>86</v>
      </c>
      <c r="C108" s="71"/>
      <c r="D108" s="64"/>
      <c r="E108" s="32">
        <v>5</v>
      </c>
      <c r="F108" s="8">
        <v>1</v>
      </c>
      <c r="I108" s="8">
        <v>1</v>
      </c>
      <c r="M108" s="8"/>
      <c r="O108" s="8"/>
      <c r="P108" s="22"/>
      <c r="R108" s="22"/>
    </row>
    <row r="109" spans="2:18" s="2" customFormat="1" ht="27" customHeight="1" x14ac:dyDescent="0.25">
      <c r="B109" s="56" t="s">
        <v>86</v>
      </c>
      <c r="C109" s="69" t="s">
        <v>19</v>
      </c>
      <c r="D109" s="63" t="s">
        <v>116</v>
      </c>
      <c r="E109" s="31">
        <v>1</v>
      </c>
      <c r="F109" s="9">
        <v>1</v>
      </c>
      <c r="I109" s="9"/>
      <c r="L109" s="2">
        <v>1</v>
      </c>
      <c r="M109" s="7">
        <f>MAX(COUNT(I109:I113)+COUNT(K109:K113),COUNT(J109:J113)+COUNT(L109:L113))</f>
        <v>5</v>
      </c>
      <c r="N109" s="3">
        <f>M109/5</f>
        <v>1</v>
      </c>
      <c r="O109" s="7">
        <f>SUM(I109:I113,K109:K113)</f>
        <v>0</v>
      </c>
      <c r="P109" s="18">
        <f>O109/5</f>
        <v>0</v>
      </c>
      <c r="R109" s="47"/>
    </row>
    <row r="110" spans="2:18" x14ac:dyDescent="0.25">
      <c r="B110" s="57" t="s">
        <v>86</v>
      </c>
      <c r="C110" s="70"/>
      <c r="D110" s="63"/>
      <c r="E110" s="31">
        <v>2</v>
      </c>
      <c r="F110" s="7">
        <v>1</v>
      </c>
      <c r="L110" s="3">
        <v>1</v>
      </c>
    </row>
    <row r="111" spans="2:18" x14ac:dyDescent="0.25">
      <c r="B111" s="57" t="s">
        <v>86</v>
      </c>
      <c r="C111" s="70"/>
      <c r="D111" s="63"/>
      <c r="E111" s="31">
        <v>3</v>
      </c>
      <c r="F111" s="7">
        <v>1</v>
      </c>
      <c r="L111" s="3">
        <v>1</v>
      </c>
    </row>
    <row r="112" spans="2:18" x14ac:dyDescent="0.25">
      <c r="B112" s="57" t="s">
        <v>86</v>
      </c>
      <c r="C112" s="70"/>
      <c r="D112" s="63"/>
      <c r="E112" s="31">
        <v>4</v>
      </c>
      <c r="F112" s="7">
        <v>1</v>
      </c>
      <c r="L112" s="3">
        <v>1</v>
      </c>
    </row>
    <row r="113" spans="2:18" s="4" customFormat="1" ht="50.4" customHeight="1" thickBot="1" x14ac:dyDescent="0.3">
      <c r="B113" s="58" t="s">
        <v>86</v>
      </c>
      <c r="C113" s="71"/>
      <c r="D113" s="64"/>
      <c r="E113" s="32">
        <v>5</v>
      </c>
      <c r="F113" s="8">
        <v>1</v>
      </c>
      <c r="I113" s="8"/>
      <c r="L113" s="4">
        <v>1</v>
      </c>
      <c r="M113" s="8"/>
      <c r="O113" s="8"/>
      <c r="P113" s="22"/>
      <c r="R113" s="22"/>
    </row>
    <row r="114" spans="2:18" s="2" customFormat="1" ht="27" customHeight="1" x14ac:dyDescent="0.25">
      <c r="B114" s="56" t="s">
        <v>86</v>
      </c>
      <c r="C114" s="69" t="s">
        <v>20</v>
      </c>
      <c r="D114" s="63" t="s">
        <v>116</v>
      </c>
      <c r="E114" s="31">
        <v>1</v>
      </c>
      <c r="F114" s="9">
        <v>1</v>
      </c>
      <c r="I114" s="9"/>
      <c r="L114" s="2">
        <v>1</v>
      </c>
      <c r="M114" s="7">
        <f>MAX(COUNT(I114:I118)+COUNT(K114:K118),COUNT(J114:J118)+COUNT(L114:L118))</f>
        <v>4</v>
      </c>
      <c r="N114" s="3">
        <f>M114/5</f>
        <v>0.8</v>
      </c>
      <c r="O114" s="7">
        <f>SUM(I114:I118,K114:K118)</f>
        <v>1</v>
      </c>
      <c r="P114" s="18">
        <f>O114/5</f>
        <v>0.2</v>
      </c>
      <c r="R114" s="47"/>
    </row>
    <row r="115" spans="2:18" x14ac:dyDescent="0.25">
      <c r="B115" s="57" t="s">
        <v>86</v>
      </c>
      <c r="C115" s="70"/>
      <c r="D115" s="63"/>
      <c r="E115" s="31">
        <v>2</v>
      </c>
      <c r="F115" s="7">
        <v>1</v>
      </c>
      <c r="L115" s="3">
        <v>1</v>
      </c>
    </row>
    <row r="116" spans="2:18" x14ac:dyDescent="0.25">
      <c r="B116" s="57" t="s">
        <v>86</v>
      </c>
      <c r="C116" s="70"/>
      <c r="D116" s="63"/>
      <c r="E116" s="31">
        <v>3</v>
      </c>
      <c r="F116" s="7">
        <v>1</v>
      </c>
      <c r="L116" s="3">
        <v>1</v>
      </c>
    </row>
    <row r="117" spans="2:18" x14ac:dyDescent="0.25">
      <c r="B117" s="57" t="s">
        <v>86</v>
      </c>
      <c r="C117" s="70"/>
      <c r="D117" s="63"/>
      <c r="E117" s="31">
        <v>4</v>
      </c>
      <c r="F117" s="7">
        <v>1</v>
      </c>
      <c r="I117" s="7">
        <v>1</v>
      </c>
    </row>
    <row r="118" spans="2:18" s="4" customFormat="1" ht="13.8" thickBot="1" x14ac:dyDescent="0.3">
      <c r="B118" s="58" t="s">
        <v>86</v>
      </c>
      <c r="C118" s="71"/>
      <c r="D118" s="64"/>
      <c r="E118" s="32">
        <v>5</v>
      </c>
      <c r="F118" s="8">
        <v>1</v>
      </c>
      <c r="I118" s="8"/>
      <c r="L118" s="4">
        <v>1</v>
      </c>
      <c r="M118" s="8"/>
      <c r="O118" s="8"/>
      <c r="P118" s="22"/>
      <c r="R118" s="22"/>
    </row>
    <row r="119" spans="2:18" s="2" customFormat="1" ht="27" customHeight="1" x14ac:dyDescent="0.25">
      <c r="B119" s="56" t="s">
        <v>86</v>
      </c>
      <c r="C119" s="69" t="s">
        <v>21</v>
      </c>
      <c r="D119" s="63" t="s">
        <v>116</v>
      </c>
      <c r="E119" s="31">
        <v>1</v>
      </c>
      <c r="F119" s="9">
        <v>1</v>
      </c>
      <c r="I119" s="9"/>
      <c r="K119" s="2">
        <v>1</v>
      </c>
      <c r="M119" s="7">
        <f>MAX(COUNT(I119:I123)+COUNT(K119:K123),COUNT(J119:J123)+COUNT(L119:L123))</f>
        <v>5</v>
      </c>
      <c r="N119" s="3">
        <f>M119/5</f>
        <v>1</v>
      </c>
      <c r="O119" s="7">
        <f>SUM(I119:I123,K119:K123)</f>
        <v>5</v>
      </c>
      <c r="P119" s="18">
        <f>O119/5</f>
        <v>1</v>
      </c>
      <c r="R119" s="47"/>
    </row>
    <row r="120" spans="2:18" x14ac:dyDescent="0.25">
      <c r="B120" s="57" t="s">
        <v>86</v>
      </c>
      <c r="C120" s="70"/>
      <c r="D120" s="63"/>
      <c r="E120" s="31">
        <v>2</v>
      </c>
      <c r="F120" s="7">
        <v>1</v>
      </c>
      <c r="K120" s="3">
        <v>1</v>
      </c>
    </row>
    <row r="121" spans="2:18" x14ac:dyDescent="0.25">
      <c r="B121" s="57" t="s">
        <v>86</v>
      </c>
      <c r="C121" s="70"/>
      <c r="D121" s="63"/>
      <c r="E121" s="31">
        <v>3</v>
      </c>
      <c r="F121" s="7">
        <v>1</v>
      </c>
      <c r="K121" s="3">
        <v>1</v>
      </c>
    </row>
    <row r="122" spans="2:18" x14ac:dyDescent="0.25">
      <c r="B122" s="57" t="s">
        <v>86</v>
      </c>
      <c r="C122" s="70"/>
      <c r="D122" s="63"/>
      <c r="E122" s="31">
        <v>4</v>
      </c>
      <c r="F122" s="7">
        <v>1</v>
      </c>
      <c r="K122" s="3">
        <v>1</v>
      </c>
    </row>
    <row r="123" spans="2:18" s="4" customFormat="1" ht="13.8" thickBot="1" x14ac:dyDescent="0.3">
      <c r="B123" s="58" t="s">
        <v>86</v>
      </c>
      <c r="C123" s="71"/>
      <c r="D123" s="64"/>
      <c r="E123" s="32">
        <v>5</v>
      </c>
      <c r="F123" s="8">
        <v>1</v>
      </c>
      <c r="I123" s="8"/>
      <c r="K123" s="4">
        <v>1</v>
      </c>
      <c r="M123" s="8"/>
      <c r="O123" s="8"/>
      <c r="P123" s="22"/>
      <c r="R123" s="22"/>
    </row>
    <row r="124" spans="2:18" ht="27" customHeight="1" x14ac:dyDescent="0.25">
      <c r="B124" s="56" t="s">
        <v>86</v>
      </c>
      <c r="C124" s="69" t="s">
        <v>22</v>
      </c>
      <c r="D124" s="63" t="s">
        <v>116</v>
      </c>
      <c r="E124" s="31">
        <v>1</v>
      </c>
      <c r="F124" s="9">
        <v>1</v>
      </c>
      <c r="K124" s="2">
        <v>1</v>
      </c>
      <c r="L124" s="2"/>
      <c r="M124" s="7">
        <f>MAX(COUNT(I124:I128)+COUNT(K124:K128),COUNT(J124:J128)+COUNT(L124:L128))</f>
        <v>5</v>
      </c>
      <c r="N124" s="3">
        <f>M124/5</f>
        <v>1</v>
      </c>
      <c r="O124" s="7">
        <f>SUM(I124:I128,K124:K128)</f>
        <v>5</v>
      </c>
      <c r="P124" s="18">
        <f>O124/5</f>
        <v>1</v>
      </c>
    </row>
    <row r="125" spans="2:18" x14ac:dyDescent="0.25">
      <c r="B125" s="57" t="s">
        <v>86</v>
      </c>
      <c r="C125" s="70"/>
      <c r="D125" s="63"/>
      <c r="E125" s="31">
        <v>2</v>
      </c>
      <c r="F125" s="7">
        <v>1</v>
      </c>
      <c r="K125" s="3">
        <v>1</v>
      </c>
    </row>
    <row r="126" spans="2:18" x14ac:dyDescent="0.25">
      <c r="B126" s="57" t="s">
        <v>86</v>
      </c>
      <c r="C126" s="70"/>
      <c r="D126" s="63"/>
      <c r="E126" s="31">
        <v>3</v>
      </c>
      <c r="F126" s="7">
        <v>1</v>
      </c>
      <c r="K126" s="3">
        <v>1</v>
      </c>
    </row>
    <row r="127" spans="2:18" x14ac:dyDescent="0.25">
      <c r="B127" s="57" t="s">
        <v>86</v>
      </c>
      <c r="C127" s="70"/>
      <c r="D127" s="63"/>
      <c r="E127" s="31">
        <v>4</v>
      </c>
      <c r="F127" s="7">
        <v>1</v>
      </c>
      <c r="K127" s="3">
        <v>1</v>
      </c>
    </row>
    <row r="128" spans="2:18" s="4" customFormat="1" ht="13.8" thickBot="1" x14ac:dyDescent="0.3">
      <c r="B128" s="58" t="s">
        <v>86</v>
      </c>
      <c r="C128" s="71"/>
      <c r="D128" s="64"/>
      <c r="E128" s="32">
        <v>5</v>
      </c>
      <c r="F128" s="8">
        <v>1</v>
      </c>
      <c r="I128" s="8"/>
      <c r="K128" s="4">
        <v>1</v>
      </c>
      <c r="M128" s="8"/>
      <c r="O128" s="8"/>
      <c r="P128" s="22"/>
      <c r="R128" s="22"/>
    </row>
    <row r="129" spans="2:18" x14ac:dyDescent="0.25">
      <c r="B129" s="56" t="s">
        <v>86</v>
      </c>
      <c r="C129" s="69" t="s">
        <v>23</v>
      </c>
      <c r="D129" s="63" t="s">
        <v>116</v>
      </c>
      <c r="E129" s="31">
        <v>1</v>
      </c>
      <c r="F129" s="9">
        <v>1</v>
      </c>
      <c r="L129" s="2">
        <v>1</v>
      </c>
      <c r="M129" s="7">
        <f>MAX(COUNT(I129:I133)+COUNT(K129:K133),COUNT(J129:J133)+COUNT(L129:L133))</f>
        <v>5</v>
      </c>
      <c r="N129" s="3">
        <f>M129/5</f>
        <v>1</v>
      </c>
      <c r="O129" s="7">
        <f>SUM(I129:I133,K129:K133)</f>
        <v>0</v>
      </c>
      <c r="P129" s="18">
        <f>O129/5</f>
        <v>0</v>
      </c>
    </row>
    <row r="130" spans="2:18" x14ac:dyDescent="0.25">
      <c r="B130" s="57" t="s">
        <v>86</v>
      </c>
      <c r="C130" s="70"/>
      <c r="D130" s="63"/>
      <c r="E130" s="31">
        <v>2</v>
      </c>
      <c r="F130" s="7">
        <v>1</v>
      </c>
      <c r="L130" s="3">
        <v>1</v>
      </c>
    </row>
    <row r="131" spans="2:18" x14ac:dyDescent="0.25">
      <c r="B131" s="57" t="s">
        <v>86</v>
      </c>
      <c r="C131" s="70"/>
      <c r="D131" s="63"/>
      <c r="E131" s="31">
        <v>3</v>
      </c>
      <c r="F131" s="7">
        <v>1</v>
      </c>
      <c r="L131" s="3">
        <v>1</v>
      </c>
    </row>
    <row r="132" spans="2:18" x14ac:dyDescent="0.25">
      <c r="B132" s="57" t="s">
        <v>86</v>
      </c>
      <c r="C132" s="70"/>
      <c r="D132" s="63"/>
      <c r="E132" s="31">
        <v>4</v>
      </c>
      <c r="F132" s="7">
        <v>1</v>
      </c>
      <c r="L132" s="3">
        <v>1</v>
      </c>
    </row>
    <row r="133" spans="2:18" s="4" customFormat="1" ht="13.8" thickBot="1" x14ac:dyDescent="0.3">
      <c r="B133" s="58" t="s">
        <v>86</v>
      </c>
      <c r="C133" s="71"/>
      <c r="D133" s="64"/>
      <c r="E133" s="32">
        <v>5</v>
      </c>
      <c r="F133" s="8">
        <v>1</v>
      </c>
      <c r="I133" s="8"/>
      <c r="L133" s="4">
        <v>1</v>
      </c>
      <c r="M133" s="8"/>
      <c r="O133" s="8"/>
      <c r="P133" s="22"/>
      <c r="R133" s="22"/>
    </row>
    <row r="134" spans="2:18" ht="27" customHeight="1" x14ac:dyDescent="0.25">
      <c r="B134" s="56" t="s">
        <v>87</v>
      </c>
      <c r="C134" s="69" t="s">
        <v>24</v>
      </c>
      <c r="D134" s="63" t="s">
        <v>116</v>
      </c>
      <c r="E134" s="31">
        <v>1</v>
      </c>
      <c r="F134" s="9">
        <v>1</v>
      </c>
      <c r="I134" s="9">
        <v>1</v>
      </c>
      <c r="L134" s="2"/>
      <c r="M134" s="7">
        <f>MAX(COUNT(I134:I138)+COUNT(K134:K138),COUNT(J134:J138)+COUNT(L134:L138))</f>
        <v>5</v>
      </c>
      <c r="N134" s="3">
        <f>M134/5</f>
        <v>1</v>
      </c>
      <c r="O134" s="7">
        <f>SUM(I134:I138,K134:K138)</f>
        <v>5</v>
      </c>
      <c r="P134" s="18">
        <f>O134/5</f>
        <v>1</v>
      </c>
    </row>
    <row r="135" spans="2:18" x14ac:dyDescent="0.25">
      <c r="B135" s="57" t="s">
        <v>87</v>
      </c>
      <c r="C135" s="70"/>
      <c r="D135" s="63"/>
      <c r="E135" s="31">
        <v>2</v>
      </c>
      <c r="F135" s="7">
        <v>1</v>
      </c>
      <c r="I135" s="7">
        <v>1</v>
      </c>
    </row>
    <row r="136" spans="2:18" x14ac:dyDescent="0.25">
      <c r="B136" s="57" t="s">
        <v>87</v>
      </c>
      <c r="C136" s="70"/>
      <c r="D136" s="63"/>
      <c r="E136" s="31">
        <v>3</v>
      </c>
      <c r="F136" s="7">
        <v>1</v>
      </c>
      <c r="I136" s="7">
        <v>1</v>
      </c>
    </row>
    <row r="137" spans="2:18" x14ac:dyDescent="0.25">
      <c r="B137" s="57" t="s">
        <v>87</v>
      </c>
      <c r="C137" s="70"/>
      <c r="D137" s="63"/>
      <c r="E137" s="31">
        <v>4</v>
      </c>
      <c r="F137" s="7">
        <v>1</v>
      </c>
      <c r="I137" s="7">
        <v>1</v>
      </c>
    </row>
    <row r="138" spans="2:18" s="4" customFormat="1" ht="13.8" thickBot="1" x14ac:dyDescent="0.3">
      <c r="B138" s="58" t="s">
        <v>87</v>
      </c>
      <c r="C138" s="71"/>
      <c r="D138" s="64"/>
      <c r="E138" s="32">
        <v>5</v>
      </c>
      <c r="F138" s="8">
        <v>1</v>
      </c>
      <c r="I138" s="8">
        <v>1</v>
      </c>
      <c r="M138" s="8"/>
      <c r="O138" s="8"/>
      <c r="P138" s="22"/>
      <c r="R138" s="22"/>
    </row>
    <row r="139" spans="2:18" ht="27" customHeight="1" x14ac:dyDescent="0.25">
      <c r="B139" s="56" t="s">
        <v>87</v>
      </c>
      <c r="C139" s="69" t="s">
        <v>25</v>
      </c>
      <c r="D139" s="63" t="s">
        <v>116</v>
      </c>
      <c r="E139" s="31">
        <v>1</v>
      </c>
      <c r="F139" s="7">
        <v>1</v>
      </c>
      <c r="I139" s="7">
        <v>1</v>
      </c>
      <c r="L139" s="2"/>
      <c r="M139" s="7">
        <f>MAX(COUNT(I139:I143)+COUNT(K139:K143),COUNT(J139:J143)+COUNT(L139:L143))</f>
        <v>4</v>
      </c>
      <c r="N139" s="3">
        <f>M139/5</f>
        <v>0.8</v>
      </c>
      <c r="O139" s="7">
        <f>SUM(I139:I143,K139:K143)</f>
        <v>4</v>
      </c>
      <c r="P139" s="18">
        <f>O139/5</f>
        <v>0.8</v>
      </c>
    </row>
    <row r="140" spans="2:18" x14ac:dyDescent="0.25">
      <c r="B140" s="57" t="s">
        <v>87</v>
      </c>
      <c r="C140" s="70"/>
      <c r="D140" s="63"/>
      <c r="E140" s="31">
        <v>2</v>
      </c>
      <c r="F140" s="7">
        <v>1</v>
      </c>
      <c r="I140" s="7">
        <v>1</v>
      </c>
    </row>
    <row r="141" spans="2:18" x14ac:dyDescent="0.25">
      <c r="B141" s="57" t="s">
        <v>87</v>
      </c>
      <c r="C141" s="70"/>
      <c r="D141" s="63"/>
      <c r="E141" s="31">
        <v>3</v>
      </c>
      <c r="G141" s="3">
        <v>1</v>
      </c>
      <c r="I141" s="7">
        <v>1</v>
      </c>
    </row>
    <row r="142" spans="2:18" x14ac:dyDescent="0.25">
      <c r="B142" s="57" t="s">
        <v>87</v>
      </c>
      <c r="C142" s="70"/>
      <c r="D142" s="63"/>
      <c r="E142" s="31">
        <v>4</v>
      </c>
      <c r="F142" s="7">
        <v>1</v>
      </c>
      <c r="I142" s="7">
        <v>1</v>
      </c>
    </row>
    <row r="143" spans="2:18" s="4" customFormat="1" ht="13.8" thickBot="1" x14ac:dyDescent="0.3">
      <c r="B143" s="58" t="s">
        <v>87</v>
      </c>
      <c r="C143" s="71"/>
      <c r="D143" s="64"/>
      <c r="E143" s="32">
        <v>5</v>
      </c>
      <c r="F143" s="8"/>
      <c r="G143" s="4">
        <v>1</v>
      </c>
      <c r="I143" s="8"/>
      <c r="L143" s="4">
        <v>1</v>
      </c>
      <c r="M143" s="8"/>
      <c r="O143" s="8"/>
      <c r="P143" s="22"/>
      <c r="R143" s="22"/>
    </row>
    <row r="144" spans="2:18" ht="40.200000000000003" customHeight="1" x14ac:dyDescent="0.25">
      <c r="B144" s="56" t="s">
        <v>87</v>
      </c>
      <c r="C144" s="69" t="s">
        <v>26</v>
      </c>
      <c r="D144" s="63" t="s">
        <v>116</v>
      </c>
      <c r="E144" s="31">
        <v>1</v>
      </c>
      <c r="F144" s="7">
        <v>1</v>
      </c>
      <c r="L144" s="3">
        <v>1</v>
      </c>
      <c r="M144" s="7">
        <f>MAX(COUNT(I144:I148)+COUNT(K144:K148),COUNT(J144:J148)+COUNT(L144:L148))</f>
        <v>4</v>
      </c>
      <c r="N144" s="3">
        <f>M144/5</f>
        <v>0.8</v>
      </c>
      <c r="O144" s="7">
        <f>SUM(I144:I148,K144:K148)</f>
        <v>1</v>
      </c>
      <c r="P144" s="18">
        <f>O144/5</f>
        <v>0.2</v>
      </c>
    </row>
    <row r="145" spans="2:18" x14ac:dyDescent="0.25">
      <c r="B145" s="57" t="s">
        <v>87</v>
      </c>
      <c r="C145" s="70"/>
      <c r="D145" s="63"/>
      <c r="E145" s="31">
        <v>2</v>
      </c>
      <c r="F145" s="7">
        <v>1</v>
      </c>
      <c r="I145" s="7">
        <v>1</v>
      </c>
    </row>
    <row r="146" spans="2:18" x14ac:dyDescent="0.25">
      <c r="B146" s="57" t="s">
        <v>87</v>
      </c>
      <c r="C146" s="70"/>
      <c r="D146" s="63"/>
      <c r="E146" s="31">
        <v>3</v>
      </c>
      <c r="F146" s="7">
        <v>1</v>
      </c>
      <c r="L146" s="3">
        <v>1</v>
      </c>
    </row>
    <row r="147" spans="2:18" x14ac:dyDescent="0.25">
      <c r="B147" s="57" t="s">
        <v>87</v>
      </c>
      <c r="C147" s="70"/>
      <c r="D147" s="63"/>
      <c r="E147" s="31">
        <v>4</v>
      </c>
      <c r="F147" s="7">
        <v>1</v>
      </c>
      <c r="L147" s="3">
        <v>1</v>
      </c>
    </row>
    <row r="148" spans="2:18" s="4" customFormat="1" ht="13.8" thickBot="1" x14ac:dyDescent="0.3">
      <c r="B148" s="58" t="s">
        <v>87</v>
      </c>
      <c r="C148" s="71"/>
      <c r="D148" s="64"/>
      <c r="E148" s="32">
        <v>5</v>
      </c>
      <c r="F148" s="8">
        <v>1</v>
      </c>
      <c r="I148" s="8"/>
      <c r="L148" s="4">
        <v>1</v>
      </c>
      <c r="M148" s="8"/>
      <c r="O148" s="8"/>
      <c r="P148" s="22"/>
      <c r="R148" s="22"/>
    </row>
    <row r="149" spans="2:18" ht="13.2" customHeight="1" x14ac:dyDescent="0.25">
      <c r="B149" s="56" t="s">
        <v>87</v>
      </c>
      <c r="C149" s="69" t="s">
        <v>27</v>
      </c>
      <c r="D149" s="63" t="s">
        <v>116</v>
      </c>
      <c r="E149" s="31">
        <v>1</v>
      </c>
      <c r="F149" s="7">
        <v>1</v>
      </c>
      <c r="L149" s="3">
        <v>1</v>
      </c>
      <c r="M149" s="7">
        <f>MAX(COUNT(I149:I153)+COUNT(K149:K153),COUNT(J149:J153)+COUNT(L149:L153))</f>
        <v>5</v>
      </c>
      <c r="O149" s="7">
        <f>SUM(I149:I153,K149:K153)</f>
        <v>0</v>
      </c>
      <c r="P149" s="18">
        <f>O149/5</f>
        <v>0</v>
      </c>
    </row>
    <row r="150" spans="2:18" x14ac:dyDescent="0.25">
      <c r="B150" s="57" t="s">
        <v>87</v>
      </c>
      <c r="C150" s="70"/>
      <c r="D150" s="63"/>
      <c r="E150" s="31">
        <v>2</v>
      </c>
      <c r="F150" s="7">
        <v>1</v>
      </c>
      <c r="L150" s="3">
        <v>1</v>
      </c>
    </row>
    <row r="151" spans="2:18" x14ac:dyDescent="0.25">
      <c r="B151" s="57" t="s">
        <v>87</v>
      </c>
      <c r="C151" s="70"/>
      <c r="D151" s="63"/>
      <c r="E151" s="31">
        <v>3</v>
      </c>
      <c r="F151" s="7">
        <v>1</v>
      </c>
      <c r="L151" s="3">
        <v>1</v>
      </c>
    </row>
    <row r="152" spans="2:18" x14ac:dyDescent="0.25">
      <c r="B152" s="57" t="s">
        <v>87</v>
      </c>
      <c r="C152" s="70"/>
      <c r="D152" s="63"/>
      <c r="E152" s="31">
        <v>4</v>
      </c>
      <c r="F152" s="7">
        <v>1</v>
      </c>
      <c r="L152" s="3">
        <v>1</v>
      </c>
    </row>
    <row r="153" spans="2:18" s="4" customFormat="1" ht="32.4" customHeight="1" thickBot="1" x14ac:dyDescent="0.3">
      <c r="B153" s="58" t="s">
        <v>87</v>
      </c>
      <c r="C153" s="71"/>
      <c r="D153" s="64"/>
      <c r="E153" s="32">
        <v>5</v>
      </c>
      <c r="F153" s="8">
        <v>1</v>
      </c>
      <c r="I153" s="8"/>
      <c r="L153" s="4">
        <v>1</v>
      </c>
      <c r="M153" s="8"/>
      <c r="O153" s="8"/>
      <c r="P153" s="22"/>
      <c r="R153" s="22"/>
    </row>
    <row r="154" spans="2:18" ht="79.8" customHeight="1" x14ac:dyDescent="0.25">
      <c r="B154" s="56" t="s">
        <v>87</v>
      </c>
      <c r="C154" s="69" t="s">
        <v>28</v>
      </c>
      <c r="D154" s="63" t="s">
        <v>116</v>
      </c>
      <c r="E154" s="31">
        <v>1</v>
      </c>
      <c r="F154" s="7">
        <v>1</v>
      </c>
      <c r="L154" s="3">
        <v>1</v>
      </c>
      <c r="M154" s="7">
        <f>MAX(COUNT(I154:I158)+COUNT(K154:K158),COUNT(J154:J158)+COUNT(L154:L158))</f>
        <v>5</v>
      </c>
      <c r="N154" s="3">
        <f>M154/5</f>
        <v>1</v>
      </c>
      <c r="O154" s="7">
        <f>SUM(I154:I158,K154:K158)</f>
        <v>0</v>
      </c>
      <c r="P154" s="18">
        <f>O154/5</f>
        <v>0</v>
      </c>
    </row>
    <row r="155" spans="2:18" x14ac:dyDescent="0.25">
      <c r="B155" s="57" t="s">
        <v>87</v>
      </c>
      <c r="C155" s="70"/>
      <c r="D155" s="63"/>
      <c r="E155" s="31">
        <v>2</v>
      </c>
      <c r="F155" s="7">
        <v>1</v>
      </c>
      <c r="L155" s="3">
        <v>1</v>
      </c>
    </row>
    <row r="156" spans="2:18" x14ac:dyDescent="0.25">
      <c r="B156" s="57" t="s">
        <v>87</v>
      </c>
      <c r="C156" s="70"/>
      <c r="D156" s="63"/>
      <c r="E156" s="31">
        <v>3</v>
      </c>
      <c r="F156" s="7">
        <v>1</v>
      </c>
      <c r="L156" s="3">
        <v>1</v>
      </c>
    </row>
    <row r="157" spans="2:18" x14ac:dyDescent="0.25">
      <c r="B157" s="57" t="s">
        <v>87</v>
      </c>
      <c r="C157" s="70"/>
      <c r="D157" s="63"/>
      <c r="E157" s="31">
        <v>4</v>
      </c>
      <c r="F157" s="7">
        <v>1</v>
      </c>
      <c r="L157" s="3">
        <v>1</v>
      </c>
    </row>
    <row r="158" spans="2:18" s="4" customFormat="1" ht="13.8" thickBot="1" x14ac:dyDescent="0.3">
      <c r="B158" s="58" t="s">
        <v>87</v>
      </c>
      <c r="C158" s="71"/>
      <c r="D158" s="64"/>
      <c r="E158" s="32">
        <v>5</v>
      </c>
      <c r="F158" s="8">
        <v>1</v>
      </c>
      <c r="I158" s="8"/>
      <c r="L158" s="4">
        <v>1</v>
      </c>
      <c r="M158" s="8"/>
      <c r="O158" s="8"/>
      <c r="P158" s="22"/>
      <c r="R158" s="22"/>
    </row>
    <row r="159" spans="2:18" ht="93" customHeight="1" x14ac:dyDescent="0.25">
      <c r="B159" s="56" t="s">
        <v>87</v>
      </c>
      <c r="C159" s="69" t="s">
        <v>29</v>
      </c>
      <c r="D159" s="63" t="s">
        <v>116</v>
      </c>
      <c r="E159" s="31">
        <v>1</v>
      </c>
      <c r="F159" s="7">
        <v>1</v>
      </c>
      <c r="L159" s="3">
        <v>1</v>
      </c>
      <c r="M159" s="7">
        <f>MAX(COUNT(I159:I163)+COUNT(K159:K163),COUNT(J159:J163)+COUNT(L159:L163))</f>
        <v>5</v>
      </c>
      <c r="N159" s="3">
        <f>M159/5</f>
        <v>1</v>
      </c>
      <c r="O159" s="7">
        <f>SUM(I159:I163,K159:K163)</f>
        <v>0</v>
      </c>
      <c r="P159" s="18">
        <f>O159/5</f>
        <v>0</v>
      </c>
    </row>
    <row r="160" spans="2:18" x14ac:dyDescent="0.25">
      <c r="B160" s="57" t="s">
        <v>87</v>
      </c>
      <c r="C160" s="70"/>
      <c r="D160" s="63"/>
      <c r="E160" s="31">
        <v>2</v>
      </c>
      <c r="F160" s="7">
        <v>1</v>
      </c>
      <c r="L160" s="3">
        <v>1</v>
      </c>
    </row>
    <row r="161" spans="2:18" x14ac:dyDescent="0.25">
      <c r="B161" s="57" t="s">
        <v>87</v>
      </c>
      <c r="C161" s="70"/>
      <c r="D161" s="63"/>
      <c r="E161" s="31">
        <v>3</v>
      </c>
      <c r="F161" s="7">
        <v>1</v>
      </c>
      <c r="L161" s="3">
        <v>1</v>
      </c>
    </row>
    <row r="162" spans="2:18" x14ac:dyDescent="0.25">
      <c r="B162" s="57" t="s">
        <v>87</v>
      </c>
      <c r="C162" s="70"/>
      <c r="D162" s="63"/>
      <c r="E162" s="31">
        <v>4</v>
      </c>
      <c r="F162" s="7">
        <v>1</v>
      </c>
      <c r="L162" s="3">
        <v>1</v>
      </c>
    </row>
    <row r="163" spans="2:18" s="4" customFormat="1" ht="13.8" thickBot="1" x14ac:dyDescent="0.3">
      <c r="B163" s="58" t="s">
        <v>87</v>
      </c>
      <c r="C163" s="71"/>
      <c r="D163" s="64"/>
      <c r="E163" s="32">
        <v>5</v>
      </c>
      <c r="F163" s="8">
        <v>1</v>
      </c>
      <c r="I163" s="8"/>
      <c r="L163" s="4">
        <v>1</v>
      </c>
      <c r="M163" s="8"/>
      <c r="O163" s="8"/>
      <c r="P163" s="22"/>
      <c r="R163" s="22"/>
    </row>
    <row r="164" spans="2:18" ht="27" customHeight="1" x14ac:dyDescent="0.25">
      <c r="B164" s="56" t="s">
        <v>87</v>
      </c>
      <c r="C164" s="69" t="s">
        <v>30</v>
      </c>
      <c r="D164" s="63" t="s">
        <v>116</v>
      </c>
      <c r="E164" s="31">
        <v>1</v>
      </c>
      <c r="F164" s="7">
        <v>1</v>
      </c>
      <c r="L164" s="3">
        <v>1</v>
      </c>
      <c r="M164" s="7">
        <f>MAX(COUNT(I164:I168)+COUNT(K164:K168),COUNT(J164:J168)+COUNT(L164:L168))</f>
        <v>5</v>
      </c>
      <c r="N164" s="3">
        <f>M164/5</f>
        <v>1</v>
      </c>
      <c r="O164" s="7">
        <f>SUM(I164:I168,K164:K168)</f>
        <v>0</v>
      </c>
      <c r="P164" s="18">
        <f>O164/5</f>
        <v>0</v>
      </c>
    </row>
    <row r="165" spans="2:18" x14ac:dyDescent="0.25">
      <c r="B165" s="57" t="s">
        <v>87</v>
      </c>
      <c r="C165" s="70"/>
      <c r="D165" s="63"/>
      <c r="E165" s="31">
        <v>2</v>
      </c>
      <c r="F165" s="7">
        <v>1</v>
      </c>
      <c r="L165" s="3">
        <v>1</v>
      </c>
    </row>
    <row r="166" spans="2:18" x14ac:dyDescent="0.25">
      <c r="B166" s="57" t="s">
        <v>87</v>
      </c>
      <c r="C166" s="70"/>
      <c r="D166" s="63"/>
      <c r="E166" s="31">
        <v>3</v>
      </c>
      <c r="F166" s="7">
        <v>1</v>
      </c>
      <c r="L166" s="3">
        <v>1</v>
      </c>
    </row>
    <row r="167" spans="2:18" x14ac:dyDescent="0.25">
      <c r="B167" s="57" t="s">
        <v>87</v>
      </c>
      <c r="C167" s="70"/>
      <c r="D167" s="63"/>
      <c r="E167" s="31">
        <v>4</v>
      </c>
      <c r="F167" s="7">
        <v>1</v>
      </c>
      <c r="L167" s="3">
        <v>1</v>
      </c>
    </row>
    <row r="168" spans="2:18" s="4" customFormat="1" ht="13.8" thickBot="1" x14ac:dyDescent="0.3">
      <c r="B168" s="58" t="s">
        <v>87</v>
      </c>
      <c r="C168" s="71"/>
      <c r="D168" s="64"/>
      <c r="E168" s="32">
        <v>5</v>
      </c>
      <c r="F168" s="8">
        <v>1</v>
      </c>
      <c r="I168" s="8"/>
      <c r="L168" s="4">
        <v>1</v>
      </c>
      <c r="M168" s="8"/>
      <c r="O168" s="8"/>
      <c r="P168" s="22"/>
      <c r="R168" s="22"/>
    </row>
    <row r="169" spans="2:18" ht="40.200000000000003" customHeight="1" x14ac:dyDescent="0.25">
      <c r="B169" s="56" t="s">
        <v>87</v>
      </c>
      <c r="C169" s="69" t="s">
        <v>31</v>
      </c>
      <c r="D169" s="63" t="s">
        <v>116</v>
      </c>
      <c r="E169" s="31">
        <v>1</v>
      </c>
      <c r="F169" s="7">
        <v>1</v>
      </c>
      <c r="L169" s="3">
        <v>1</v>
      </c>
      <c r="M169" s="7">
        <f>MAX(COUNT(I169:I173)+COUNT(K169:K173),COUNT(J169:J173)+COUNT(L169:L173))</f>
        <v>5</v>
      </c>
      <c r="N169" s="3">
        <f>M169/5</f>
        <v>1</v>
      </c>
      <c r="O169" s="7">
        <f>SUM(I169:I173,K169:K173)</f>
        <v>0</v>
      </c>
      <c r="P169" s="18">
        <f>O169/5</f>
        <v>0</v>
      </c>
    </row>
    <row r="170" spans="2:18" x14ac:dyDescent="0.25">
      <c r="B170" s="57" t="s">
        <v>87</v>
      </c>
      <c r="C170" s="70"/>
      <c r="D170" s="63"/>
      <c r="E170" s="31">
        <v>2</v>
      </c>
      <c r="F170" s="7">
        <v>1</v>
      </c>
      <c r="L170" s="3">
        <v>1</v>
      </c>
    </row>
    <row r="171" spans="2:18" x14ac:dyDescent="0.25">
      <c r="B171" s="57" t="s">
        <v>87</v>
      </c>
      <c r="C171" s="70"/>
      <c r="D171" s="63"/>
      <c r="E171" s="31">
        <v>3</v>
      </c>
      <c r="F171" s="7">
        <v>1</v>
      </c>
      <c r="L171" s="3">
        <v>1</v>
      </c>
    </row>
    <row r="172" spans="2:18" x14ac:dyDescent="0.25">
      <c r="B172" s="57" t="s">
        <v>87</v>
      </c>
      <c r="C172" s="70"/>
      <c r="D172" s="63"/>
      <c r="E172" s="31">
        <v>4</v>
      </c>
      <c r="F172" s="7">
        <v>1</v>
      </c>
      <c r="L172" s="3">
        <v>1</v>
      </c>
    </row>
    <row r="173" spans="2:18" s="4" customFormat="1" ht="13.8" thickBot="1" x14ac:dyDescent="0.3">
      <c r="B173" s="58" t="s">
        <v>87</v>
      </c>
      <c r="C173" s="71"/>
      <c r="D173" s="64"/>
      <c r="E173" s="32">
        <v>5</v>
      </c>
      <c r="F173" s="8">
        <v>1</v>
      </c>
      <c r="I173" s="8"/>
      <c r="L173" s="4">
        <v>1</v>
      </c>
      <c r="M173" s="8"/>
      <c r="O173" s="8"/>
      <c r="P173" s="22"/>
      <c r="R173" s="22"/>
    </row>
    <row r="174" spans="2:18" ht="40.200000000000003" customHeight="1" x14ac:dyDescent="0.25">
      <c r="B174" s="56" t="s">
        <v>87</v>
      </c>
      <c r="C174" s="69" t="s">
        <v>32</v>
      </c>
      <c r="D174" s="63" t="s">
        <v>116</v>
      </c>
      <c r="E174" s="31">
        <v>1</v>
      </c>
      <c r="F174" s="7">
        <v>1</v>
      </c>
      <c r="L174" s="3">
        <v>1</v>
      </c>
      <c r="M174" s="7">
        <f>MAX(COUNT(I174:I178)+COUNT(K174:K178),COUNT(J174:J178)+COUNT(L174:L178))</f>
        <v>5</v>
      </c>
      <c r="N174" s="3">
        <f>M174/5</f>
        <v>1</v>
      </c>
      <c r="O174" s="7">
        <f>SUM(I174:I178,K174:K178)</f>
        <v>0</v>
      </c>
      <c r="P174" s="18">
        <f>O174/5</f>
        <v>0</v>
      </c>
    </row>
    <row r="175" spans="2:18" x14ac:dyDescent="0.25">
      <c r="B175" s="57" t="s">
        <v>87</v>
      </c>
      <c r="C175" s="70"/>
      <c r="D175" s="63"/>
      <c r="E175" s="31">
        <v>2</v>
      </c>
      <c r="F175" s="7">
        <v>1</v>
      </c>
      <c r="L175" s="3">
        <v>1</v>
      </c>
    </row>
    <row r="176" spans="2:18" x14ac:dyDescent="0.25">
      <c r="B176" s="57" t="s">
        <v>87</v>
      </c>
      <c r="C176" s="70"/>
      <c r="D176" s="63"/>
      <c r="E176" s="31">
        <v>3</v>
      </c>
      <c r="F176" s="7">
        <v>1</v>
      </c>
      <c r="L176" s="3">
        <v>1</v>
      </c>
    </row>
    <row r="177" spans="2:18" x14ac:dyDescent="0.25">
      <c r="B177" s="57" t="s">
        <v>87</v>
      </c>
      <c r="C177" s="70"/>
      <c r="D177" s="63"/>
      <c r="E177" s="31">
        <v>4</v>
      </c>
      <c r="F177" s="7">
        <v>1</v>
      </c>
      <c r="L177" s="3">
        <v>1</v>
      </c>
    </row>
    <row r="178" spans="2:18" s="4" customFormat="1" ht="13.8" thickBot="1" x14ac:dyDescent="0.3">
      <c r="B178" s="58" t="s">
        <v>87</v>
      </c>
      <c r="C178" s="71"/>
      <c r="D178" s="64"/>
      <c r="E178" s="32">
        <v>5</v>
      </c>
      <c r="F178" s="8">
        <v>1</v>
      </c>
      <c r="I178" s="8"/>
      <c r="L178" s="4">
        <v>1</v>
      </c>
      <c r="M178" s="8"/>
      <c r="O178" s="8"/>
      <c r="P178" s="22"/>
      <c r="R178" s="22"/>
    </row>
    <row r="179" spans="2:18" ht="27" customHeight="1" x14ac:dyDescent="0.25">
      <c r="B179" s="56" t="s">
        <v>87</v>
      </c>
      <c r="C179" s="69" t="s">
        <v>33</v>
      </c>
      <c r="D179" s="63" t="s">
        <v>116</v>
      </c>
      <c r="E179" s="31">
        <v>1</v>
      </c>
      <c r="F179" s="7">
        <v>1</v>
      </c>
      <c r="L179" s="3">
        <v>1</v>
      </c>
      <c r="M179" s="7">
        <f>MAX(COUNT(I179:I183)+COUNT(K179:K183),COUNT(J179:J183)+COUNT(L179:L183))</f>
        <v>5</v>
      </c>
      <c r="N179" s="3">
        <f>M179/5</f>
        <v>1</v>
      </c>
      <c r="O179" s="7">
        <f>SUM(I179:I183,K179:K183)</f>
        <v>0</v>
      </c>
      <c r="P179" s="18">
        <f>O179/5</f>
        <v>0</v>
      </c>
    </row>
    <row r="180" spans="2:18" x14ac:dyDescent="0.25">
      <c r="B180" s="57" t="s">
        <v>87</v>
      </c>
      <c r="C180" s="70"/>
      <c r="D180" s="63"/>
      <c r="E180" s="31">
        <v>2</v>
      </c>
      <c r="F180" s="7">
        <v>1</v>
      </c>
      <c r="L180" s="3">
        <v>1</v>
      </c>
    </row>
    <row r="181" spans="2:18" x14ac:dyDescent="0.25">
      <c r="B181" s="57" t="s">
        <v>87</v>
      </c>
      <c r="C181" s="70"/>
      <c r="D181" s="63"/>
      <c r="E181" s="31">
        <v>3</v>
      </c>
      <c r="F181" s="7">
        <v>1</v>
      </c>
      <c r="L181" s="3">
        <v>1</v>
      </c>
    </row>
    <row r="182" spans="2:18" x14ac:dyDescent="0.25">
      <c r="B182" s="57" t="s">
        <v>87</v>
      </c>
      <c r="C182" s="70"/>
      <c r="D182" s="63"/>
      <c r="E182" s="31">
        <v>4</v>
      </c>
      <c r="F182" s="7">
        <v>1</v>
      </c>
      <c r="L182" s="3">
        <v>1</v>
      </c>
    </row>
    <row r="183" spans="2:18" s="4" customFormat="1" ht="13.8" thickBot="1" x14ac:dyDescent="0.3">
      <c r="B183" s="58" t="s">
        <v>87</v>
      </c>
      <c r="C183" s="71"/>
      <c r="D183" s="64"/>
      <c r="E183" s="32">
        <v>5</v>
      </c>
      <c r="F183" s="8">
        <v>1</v>
      </c>
      <c r="I183" s="8"/>
      <c r="L183" s="4">
        <v>1</v>
      </c>
      <c r="M183" s="8"/>
      <c r="O183" s="8"/>
      <c r="P183" s="22"/>
      <c r="R183" s="22"/>
    </row>
    <row r="184" spans="2:18" ht="27" customHeight="1" x14ac:dyDescent="0.25">
      <c r="B184" s="56" t="s">
        <v>87</v>
      </c>
      <c r="C184" s="69" t="s">
        <v>34</v>
      </c>
      <c r="D184" s="63" t="s">
        <v>116</v>
      </c>
      <c r="E184" s="31">
        <v>1</v>
      </c>
      <c r="F184" s="7">
        <v>1</v>
      </c>
      <c r="L184" s="3">
        <v>1</v>
      </c>
      <c r="M184" s="7">
        <f>MAX(COUNT(I184:I188)+COUNT(K184:K188),COUNT(J184:J188)+COUNT(L184:L188))</f>
        <v>5</v>
      </c>
      <c r="N184" s="3">
        <f>M184/5</f>
        <v>1</v>
      </c>
      <c r="O184" s="7">
        <f>SUM(I184:I188,K184:K188)</f>
        <v>0</v>
      </c>
      <c r="P184" s="18">
        <f>O184/5</f>
        <v>0</v>
      </c>
    </row>
    <row r="185" spans="2:18" x14ac:dyDescent="0.25">
      <c r="B185" s="57" t="s">
        <v>87</v>
      </c>
      <c r="C185" s="70"/>
      <c r="D185" s="63"/>
      <c r="E185" s="31">
        <v>2</v>
      </c>
      <c r="F185" s="7">
        <v>1</v>
      </c>
      <c r="L185" s="3">
        <v>1</v>
      </c>
    </row>
    <row r="186" spans="2:18" x14ac:dyDescent="0.25">
      <c r="B186" s="57" t="s">
        <v>87</v>
      </c>
      <c r="C186" s="70"/>
      <c r="D186" s="63"/>
      <c r="E186" s="31">
        <v>3</v>
      </c>
      <c r="F186" s="7">
        <v>1</v>
      </c>
      <c r="L186" s="3">
        <v>1</v>
      </c>
    </row>
    <row r="187" spans="2:18" x14ac:dyDescent="0.25">
      <c r="B187" s="57" t="s">
        <v>87</v>
      </c>
      <c r="C187" s="70"/>
      <c r="D187" s="63"/>
      <c r="E187" s="31">
        <v>4</v>
      </c>
      <c r="F187" s="7">
        <v>1</v>
      </c>
      <c r="L187" s="3">
        <v>1</v>
      </c>
    </row>
    <row r="188" spans="2:18" s="4" customFormat="1" ht="13.8" thickBot="1" x14ac:dyDescent="0.3">
      <c r="B188" s="58" t="s">
        <v>87</v>
      </c>
      <c r="C188" s="71"/>
      <c r="D188" s="64"/>
      <c r="E188" s="32">
        <v>5</v>
      </c>
      <c r="F188" s="8">
        <v>1</v>
      </c>
      <c r="I188" s="8"/>
      <c r="L188" s="4">
        <v>1</v>
      </c>
      <c r="M188" s="8"/>
      <c r="O188" s="8"/>
      <c r="P188" s="22"/>
      <c r="R188" s="22"/>
    </row>
    <row r="189" spans="2:18" ht="40.200000000000003" customHeight="1" x14ac:dyDescent="0.25">
      <c r="B189" s="56" t="s">
        <v>88</v>
      </c>
      <c r="C189" s="69" t="s">
        <v>35</v>
      </c>
      <c r="D189" s="63" t="s">
        <v>116</v>
      </c>
      <c r="E189" s="31">
        <v>1</v>
      </c>
      <c r="F189" s="7">
        <v>1</v>
      </c>
      <c r="L189" s="3">
        <v>1</v>
      </c>
      <c r="M189" s="7">
        <f>MAX(COUNT(I189:I193)+COUNT(K189:K193),COUNT(J189:J193)+COUNT(L189:L193))</f>
        <v>5</v>
      </c>
      <c r="N189" s="3">
        <f>M189/5</f>
        <v>1</v>
      </c>
      <c r="O189" s="7">
        <f>SUM(I189:I193,K189:K193)</f>
        <v>0</v>
      </c>
      <c r="P189" s="18">
        <f>O189/5</f>
        <v>0</v>
      </c>
    </row>
    <row r="190" spans="2:18" x14ac:dyDescent="0.25">
      <c r="B190" s="57" t="s">
        <v>88</v>
      </c>
      <c r="C190" s="70"/>
      <c r="D190" s="63"/>
      <c r="E190" s="31">
        <v>2</v>
      </c>
      <c r="F190" s="7">
        <v>1</v>
      </c>
      <c r="L190" s="3">
        <v>1</v>
      </c>
    </row>
    <row r="191" spans="2:18" x14ac:dyDescent="0.25">
      <c r="B191" s="57" t="s">
        <v>88</v>
      </c>
      <c r="C191" s="70"/>
      <c r="D191" s="63"/>
      <c r="E191" s="31">
        <v>3</v>
      </c>
      <c r="F191" s="7">
        <v>1</v>
      </c>
      <c r="L191" s="3">
        <v>1</v>
      </c>
    </row>
    <row r="192" spans="2:18" x14ac:dyDescent="0.25">
      <c r="B192" s="57" t="s">
        <v>88</v>
      </c>
      <c r="C192" s="70"/>
      <c r="D192" s="63"/>
      <c r="E192" s="31">
        <v>4</v>
      </c>
      <c r="F192" s="7">
        <v>1</v>
      </c>
      <c r="L192" s="3">
        <v>1</v>
      </c>
    </row>
    <row r="193" spans="2:18" s="4" customFormat="1" ht="13.8" thickBot="1" x14ac:dyDescent="0.3">
      <c r="B193" s="58" t="s">
        <v>88</v>
      </c>
      <c r="C193" s="71"/>
      <c r="D193" s="64"/>
      <c r="E193" s="32">
        <v>5</v>
      </c>
      <c r="F193" s="8">
        <v>1</v>
      </c>
      <c r="I193" s="8"/>
      <c r="L193" s="4">
        <v>1</v>
      </c>
      <c r="M193" s="8"/>
      <c r="O193" s="8"/>
      <c r="P193" s="22"/>
      <c r="R193" s="22"/>
    </row>
    <row r="194" spans="2:18" ht="40.200000000000003" customHeight="1" x14ac:dyDescent="0.25">
      <c r="B194" s="56" t="s">
        <v>88</v>
      </c>
      <c r="C194" s="69" t="s">
        <v>36</v>
      </c>
      <c r="D194" s="63" t="s">
        <v>116</v>
      </c>
      <c r="E194" s="31">
        <v>1</v>
      </c>
      <c r="F194" s="7">
        <v>1</v>
      </c>
      <c r="I194" s="7">
        <v>1</v>
      </c>
      <c r="M194" s="7">
        <f>MAX(COUNT(I194:I198)+COUNT(K194:K198),COUNT(J194:J198)+COUNT(L194:L198))</f>
        <v>5</v>
      </c>
      <c r="N194" s="3">
        <f>M194/5</f>
        <v>1</v>
      </c>
      <c r="O194" s="7">
        <f>SUM(I194:I198,K194:K198)</f>
        <v>5</v>
      </c>
      <c r="P194" s="18">
        <f>O194/5</f>
        <v>1</v>
      </c>
    </row>
    <row r="195" spans="2:18" x14ac:dyDescent="0.25">
      <c r="B195" s="57" t="s">
        <v>88</v>
      </c>
      <c r="C195" s="70"/>
      <c r="D195" s="63"/>
      <c r="E195" s="31">
        <v>2</v>
      </c>
      <c r="F195" s="7">
        <v>1</v>
      </c>
      <c r="I195" s="7">
        <v>1</v>
      </c>
    </row>
    <row r="196" spans="2:18" x14ac:dyDescent="0.25">
      <c r="B196" s="57" t="s">
        <v>88</v>
      </c>
      <c r="C196" s="70"/>
      <c r="D196" s="63"/>
      <c r="E196" s="31">
        <v>3</v>
      </c>
      <c r="F196" s="7">
        <v>1</v>
      </c>
      <c r="I196" s="7">
        <v>1</v>
      </c>
    </row>
    <row r="197" spans="2:18" x14ac:dyDescent="0.25">
      <c r="B197" s="57" t="s">
        <v>88</v>
      </c>
      <c r="C197" s="70"/>
      <c r="D197" s="63"/>
      <c r="E197" s="31">
        <v>4</v>
      </c>
      <c r="F197" s="7">
        <v>1</v>
      </c>
      <c r="I197" s="7">
        <v>1</v>
      </c>
    </row>
    <row r="198" spans="2:18" s="4" customFormat="1" ht="13.8" thickBot="1" x14ac:dyDescent="0.3">
      <c r="B198" s="58" t="s">
        <v>88</v>
      </c>
      <c r="C198" s="71"/>
      <c r="D198" s="64"/>
      <c r="E198" s="32">
        <v>5</v>
      </c>
      <c r="F198" s="8">
        <v>1</v>
      </c>
      <c r="I198" s="8">
        <v>1</v>
      </c>
      <c r="M198" s="8"/>
      <c r="O198" s="8"/>
      <c r="P198" s="22"/>
      <c r="R198" s="22"/>
    </row>
    <row r="199" spans="2:18" ht="40.200000000000003" customHeight="1" x14ac:dyDescent="0.25">
      <c r="B199" s="56" t="s">
        <v>89</v>
      </c>
      <c r="C199" s="66" t="s">
        <v>37</v>
      </c>
      <c r="D199" s="63" t="s">
        <v>116</v>
      </c>
      <c r="E199" s="31">
        <v>1</v>
      </c>
      <c r="F199" s="7">
        <v>1</v>
      </c>
      <c r="I199" s="7">
        <v>1</v>
      </c>
      <c r="M199" s="7">
        <f>MAX(COUNT(I199:I203)+COUNT(K199:K203),COUNT(J199:J203)+COUNT(L199:L203))</f>
        <v>5</v>
      </c>
      <c r="N199" s="3">
        <f>M199/5</f>
        <v>1</v>
      </c>
      <c r="O199" s="7">
        <f>SUM(I199:I203,K199:K203)</f>
        <v>5</v>
      </c>
      <c r="P199" s="18">
        <f>O199/5</f>
        <v>1</v>
      </c>
    </row>
    <row r="200" spans="2:18" x14ac:dyDescent="0.25">
      <c r="B200" s="57" t="s">
        <v>89</v>
      </c>
      <c r="C200" s="67"/>
      <c r="D200" s="63"/>
      <c r="E200" s="31">
        <v>2</v>
      </c>
      <c r="F200" s="7">
        <v>1</v>
      </c>
      <c r="I200" s="7">
        <v>1</v>
      </c>
    </row>
    <row r="201" spans="2:18" x14ac:dyDescent="0.25">
      <c r="B201" s="57" t="s">
        <v>89</v>
      </c>
      <c r="C201" s="67"/>
      <c r="D201" s="63"/>
      <c r="E201" s="31">
        <v>3</v>
      </c>
      <c r="F201" s="7">
        <v>1</v>
      </c>
      <c r="I201" s="7">
        <v>1</v>
      </c>
    </row>
    <row r="202" spans="2:18" x14ac:dyDescent="0.25">
      <c r="B202" s="57" t="s">
        <v>89</v>
      </c>
      <c r="C202" s="67"/>
      <c r="D202" s="63"/>
      <c r="E202" s="31">
        <v>4</v>
      </c>
      <c r="F202" s="7">
        <v>1</v>
      </c>
      <c r="I202" s="7">
        <v>1</v>
      </c>
    </row>
    <row r="203" spans="2:18" s="4" customFormat="1" ht="13.8" thickBot="1" x14ac:dyDescent="0.3">
      <c r="B203" s="58" t="s">
        <v>89</v>
      </c>
      <c r="C203" s="68"/>
      <c r="D203" s="64"/>
      <c r="E203" s="32">
        <v>5</v>
      </c>
      <c r="F203" s="8">
        <v>1</v>
      </c>
      <c r="I203" s="8">
        <v>1</v>
      </c>
      <c r="M203" s="8"/>
      <c r="O203" s="8"/>
      <c r="P203" s="22"/>
      <c r="R203" s="22"/>
    </row>
    <row r="204" spans="2:18" ht="27" customHeight="1" x14ac:dyDescent="0.25">
      <c r="B204" s="56" t="s">
        <v>89</v>
      </c>
      <c r="C204" s="66" t="s">
        <v>38</v>
      </c>
      <c r="D204" s="63" t="s">
        <v>116</v>
      </c>
      <c r="E204" s="31">
        <v>1</v>
      </c>
      <c r="F204" s="7">
        <v>1</v>
      </c>
      <c r="L204" s="3">
        <v>1</v>
      </c>
      <c r="M204" s="7">
        <f>MAX(COUNT(I204:I208)+COUNT(K204:K208),COUNT(J204:J208)+COUNT(L204:L208))</f>
        <v>5</v>
      </c>
      <c r="N204" s="3">
        <f>M204/5</f>
        <v>1</v>
      </c>
      <c r="O204" s="7">
        <f>SUM(I204:I208,K204:K208)</f>
        <v>0</v>
      </c>
      <c r="P204" s="18">
        <f>O204/5</f>
        <v>0</v>
      </c>
    </row>
    <row r="205" spans="2:18" x14ac:dyDescent="0.25">
      <c r="B205" s="57" t="s">
        <v>89</v>
      </c>
      <c r="C205" s="67"/>
      <c r="D205" s="63"/>
      <c r="E205" s="31">
        <v>2</v>
      </c>
      <c r="F205" s="7">
        <v>1</v>
      </c>
      <c r="L205" s="3">
        <v>1</v>
      </c>
    </row>
    <row r="206" spans="2:18" x14ac:dyDescent="0.25">
      <c r="B206" s="57" t="s">
        <v>89</v>
      </c>
      <c r="C206" s="67"/>
      <c r="D206" s="63"/>
      <c r="E206" s="31">
        <v>3</v>
      </c>
      <c r="F206" s="7">
        <v>1</v>
      </c>
      <c r="L206" s="3">
        <v>1</v>
      </c>
    </row>
    <row r="207" spans="2:18" x14ac:dyDescent="0.25">
      <c r="B207" s="57" t="s">
        <v>89</v>
      </c>
      <c r="C207" s="67"/>
      <c r="D207" s="63"/>
      <c r="E207" s="31">
        <v>4</v>
      </c>
      <c r="F207" s="7">
        <v>1</v>
      </c>
      <c r="L207" s="3">
        <v>1</v>
      </c>
    </row>
    <row r="208" spans="2:18" s="4" customFormat="1" ht="13.8" thickBot="1" x14ac:dyDescent="0.3">
      <c r="B208" s="58" t="s">
        <v>89</v>
      </c>
      <c r="C208" s="68"/>
      <c r="D208" s="64"/>
      <c r="E208" s="32">
        <v>5</v>
      </c>
      <c r="F208" s="8">
        <v>1</v>
      </c>
      <c r="I208" s="8"/>
      <c r="L208" s="4">
        <v>1</v>
      </c>
      <c r="M208" s="8"/>
      <c r="O208" s="8"/>
      <c r="P208" s="22"/>
      <c r="R208" s="22"/>
    </row>
    <row r="209" spans="2:18" ht="27" customHeight="1" x14ac:dyDescent="0.25">
      <c r="B209" s="56" t="s">
        <v>89</v>
      </c>
      <c r="C209" s="66" t="s">
        <v>39</v>
      </c>
      <c r="D209" s="63" t="s">
        <v>116</v>
      </c>
      <c r="E209" s="31">
        <v>1</v>
      </c>
      <c r="F209" s="7">
        <v>1</v>
      </c>
      <c r="I209" s="7">
        <v>1</v>
      </c>
      <c r="M209" s="7">
        <f>MAX(COUNT(I209:I213)+COUNT(K209:K213),COUNT(J209:J213)+COUNT(L209:L213))</f>
        <v>5</v>
      </c>
      <c r="N209" s="3">
        <f>M209/5</f>
        <v>1</v>
      </c>
      <c r="O209" s="7">
        <f>SUM(I209:I213,K209:K213)</f>
        <v>5</v>
      </c>
      <c r="P209" s="18">
        <f>O209/5</f>
        <v>1</v>
      </c>
    </row>
    <row r="210" spans="2:18" x14ac:dyDescent="0.25">
      <c r="B210" s="57" t="s">
        <v>89</v>
      </c>
      <c r="C210" s="67"/>
      <c r="D210" s="63"/>
      <c r="E210" s="31">
        <v>2</v>
      </c>
      <c r="F210" s="7">
        <v>1</v>
      </c>
      <c r="I210" s="7">
        <v>1</v>
      </c>
    </row>
    <row r="211" spans="2:18" x14ac:dyDescent="0.25">
      <c r="B211" s="57" t="s">
        <v>89</v>
      </c>
      <c r="C211" s="67"/>
      <c r="D211" s="63"/>
      <c r="E211" s="31">
        <v>3</v>
      </c>
      <c r="F211" s="7">
        <v>1</v>
      </c>
      <c r="I211" s="7">
        <v>1</v>
      </c>
    </row>
    <row r="212" spans="2:18" x14ac:dyDescent="0.25">
      <c r="B212" s="57" t="s">
        <v>89</v>
      </c>
      <c r="C212" s="67"/>
      <c r="D212" s="63"/>
      <c r="E212" s="31">
        <v>4</v>
      </c>
      <c r="F212" s="7">
        <v>1</v>
      </c>
      <c r="I212" s="7">
        <v>1</v>
      </c>
    </row>
    <row r="213" spans="2:18" s="4" customFormat="1" ht="13.8" thickBot="1" x14ac:dyDescent="0.3">
      <c r="B213" s="58" t="s">
        <v>89</v>
      </c>
      <c r="C213" s="68"/>
      <c r="D213" s="64"/>
      <c r="E213" s="32">
        <v>5</v>
      </c>
      <c r="F213" s="8">
        <v>1</v>
      </c>
      <c r="I213" s="8">
        <v>1</v>
      </c>
      <c r="M213" s="8"/>
      <c r="O213" s="8"/>
      <c r="P213" s="22"/>
      <c r="R213" s="22"/>
    </row>
    <row r="214" spans="2:18" ht="40.200000000000003" customHeight="1" x14ac:dyDescent="0.25">
      <c r="B214" s="56" t="s">
        <v>89</v>
      </c>
      <c r="C214" s="66" t="s">
        <v>40</v>
      </c>
      <c r="D214" s="63" t="s">
        <v>116</v>
      </c>
      <c r="E214" s="31">
        <v>1</v>
      </c>
      <c r="F214" s="7">
        <v>1</v>
      </c>
      <c r="L214" s="3">
        <v>1</v>
      </c>
      <c r="M214" s="7">
        <f>MAX(COUNT(I214:I218)+COUNT(K214:K218),COUNT(J214:J218)+COUNT(L214:L218))</f>
        <v>5</v>
      </c>
      <c r="N214" s="3">
        <f>M214/5</f>
        <v>1</v>
      </c>
      <c r="O214" s="7">
        <f>SUM(I214:I218,K214:K218)</f>
        <v>0</v>
      </c>
      <c r="P214" s="18">
        <f>O214/5</f>
        <v>0</v>
      </c>
    </row>
    <row r="215" spans="2:18" x14ac:dyDescent="0.25">
      <c r="B215" s="57" t="s">
        <v>89</v>
      </c>
      <c r="C215" s="67"/>
      <c r="D215" s="63"/>
      <c r="E215" s="31">
        <v>2</v>
      </c>
      <c r="F215" s="7">
        <v>1</v>
      </c>
      <c r="L215" s="3">
        <v>1</v>
      </c>
    </row>
    <row r="216" spans="2:18" x14ac:dyDescent="0.25">
      <c r="B216" s="57" t="s">
        <v>89</v>
      </c>
      <c r="C216" s="67"/>
      <c r="D216" s="63"/>
      <c r="E216" s="31">
        <v>3</v>
      </c>
      <c r="F216" s="7">
        <v>1</v>
      </c>
      <c r="L216" s="3">
        <v>1</v>
      </c>
    </row>
    <row r="217" spans="2:18" x14ac:dyDescent="0.25">
      <c r="B217" s="57" t="s">
        <v>89</v>
      </c>
      <c r="C217" s="67"/>
      <c r="D217" s="63"/>
      <c r="E217" s="31">
        <v>4</v>
      </c>
      <c r="F217" s="7">
        <v>1</v>
      </c>
      <c r="L217" s="3">
        <v>1</v>
      </c>
    </row>
    <row r="218" spans="2:18" s="4" customFormat="1" ht="13.8" thickBot="1" x14ac:dyDescent="0.3">
      <c r="B218" s="58" t="s">
        <v>89</v>
      </c>
      <c r="C218" s="68"/>
      <c r="D218" s="64"/>
      <c r="E218" s="32">
        <v>5</v>
      </c>
      <c r="F218" s="8">
        <v>1</v>
      </c>
      <c r="I218" s="8"/>
      <c r="L218" s="4">
        <v>1</v>
      </c>
      <c r="M218" s="8"/>
      <c r="O218" s="8"/>
      <c r="P218" s="22"/>
      <c r="R218" s="22"/>
    </row>
    <row r="219" spans="2:18" ht="40.200000000000003" customHeight="1" x14ac:dyDescent="0.25">
      <c r="B219" s="56" t="s">
        <v>89</v>
      </c>
      <c r="C219" s="66" t="s">
        <v>41</v>
      </c>
      <c r="D219" s="63" t="s">
        <v>116</v>
      </c>
      <c r="E219" s="31">
        <v>1</v>
      </c>
      <c r="F219" s="7">
        <v>1</v>
      </c>
      <c r="I219" s="7">
        <v>1</v>
      </c>
      <c r="M219" s="7">
        <f>MAX(COUNT(I219:I223)+COUNT(K219:K223),COUNT(J219:J223)+COUNT(L219:L223))</f>
        <v>4</v>
      </c>
      <c r="N219" s="3">
        <f>M219/5</f>
        <v>0.8</v>
      </c>
      <c r="O219" s="7">
        <f>SUM(I219:I223,K219:K223)</f>
        <v>4</v>
      </c>
      <c r="P219" s="18">
        <f>O219/5</f>
        <v>0.8</v>
      </c>
    </row>
    <row r="220" spans="2:18" x14ac:dyDescent="0.25">
      <c r="B220" s="57" t="s">
        <v>89</v>
      </c>
      <c r="C220" s="67"/>
      <c r="D220" s="63"/>
      <c r="E220" s="31">
        <v>2</v>
      </c>
      <c r="F220" s="7">
        <v>1</v>
      </c>
      <c r="I220" s="7">
        <v>1</v>
      </c>
    </row>
    <row r="221" spans="2:18" x14ac:dyDescent="0.25">
      <c r="B221" s="57" t="s">
        <v>89</v>
      </c>
      <c r="C221" s="67"/>
      <c r="D221" s="63"/>
      <c r="E221" s="31">
        <v>3</v>
      </c>
      <c r="F221" s="7">
        <v>1</v>
      </c>
      <c r="L221" s="3">
        <v>1</v>
      </c>
    </row>
    <row r="222" spans="2:18" x14ac:dyDescent="0.25">
      <c r="B222" s="57" t="s">
        <v>89</v>
      </c>
      <c r="C222" s="67"/>
      <c r="D222" s="63"/>
      <c r="E222" s="31">
        <v>4</v>
      </c>
      <c r="F222" s="7">
        <v>1</v>
      </c>
      <c r="I222" s="7">
        <v>1</v>
      </c>
    </row>
    <row r="223" spans="2:18" s="4" customFormat="1" ht="13.8" thickBot="1" x14ac:dyDescent="0.3">
      <c r="B223" s="58" t="s">
        <v>89</v>
      </c>
      <c r="C223" s="68"/>
      <c r="D223" s="64"/>
      <c r="E223" s="32">
        <v>5</v>
      </c>
      <c r="F223" s="8">
        <v>1</v>
      </c>
      <c r="I223" s="8">
        <v>1</v>
      </c>
      <c r="M223" s="8"/>
      <c r="O223" s="8"/>
      <c r="P223" s="22"/>
      <c r="R223" s="22"/>
    </row>
    <row r="224" spans="2:18" ht="27" customHeight="1" x14ac:dyDescent="0.25">
      <c r="B224" s="56" t="s">
        <v>89</v>
      </c>
      <c r="C224" s="66" t="s">
        <v>42</v>
      </c>
      <c r="D224" s="63" t="s">
        <v>116</v>
      </c>
      <c r="E224" s="31">
        <v>1</v>
      </c>
      <c r="F224" s="7">
        <v>1</v>
      </c>
      <c r="L224" s="3">
        <v>1</v>
      </c>
      <c r="M224" s="7">
        <f>MAX(COUNT(I224:I228)+COUNT(K224:K228),COUNT(J224:J228)+COUNT(L224:L228))</f>
        <v>5</v>
      </c>
      <c r="N224" s="3">
        <f>M224/5</f>
        <v>1</v>
      </c>
      <c r="O224" s="7">
        <f>SUM(I224:I228,K224:K228)</f>
        <v>0</v>
      </c>
      <c r="P224" s="18">
        <f>O224/5</f>
        <v>0</v>
      </c>
    </row>
    <row r="225" spans="2:18" x14ac:dyDescent="0.25">
      <c r="B225" s="57" t="s">
        <v>89</v>
      </c>
      <c r="C225" s="67"/>
      <c r="D225" s="63"/>
      <c r="E225" s="31">
        <v>2</v>
      </c>
      <c r="F225" s="7">
        <v>1</v>
      </c>
      <c r="L225" s="3">
        <v>1</v>
      </c>
    </row>
    <row r="226" spans="2:18" x14ac:dyDescent="0.25">
      <c r="B226" s="57" t="s">
        <v>89</v>
      </c>
      <c r="C226" s="67"/>
      <c r="D226" s="63"/>
      <c r="E226" s="31">
        <v>3</v>
      </c>
      <c r="F226" s="7">
        <v>1</v>
      </c>
      <c r="L226" s="3">
        <v>1</v>
      </c>
    </row>
    <row r="227" spans="2:18" x14ac:dyDescent="0.25">
      <c r="B227" s="57" t="s">
        <v>89</v>
      </c>
      <c r="C227" s="67"/>
      <c r="D227" s="63"/>
      <c r="E227" s="31">
        <v>4</v>
      </c>
      <c r="F227" s="7">
        <v>1</v>
      </c>
      <c r="L227" s="3">
        <v>1</v>
      </c>
    </row>
    <row r="228" spans="2:18" s="4" customFormat="1" ht="13.8" thickBot="1" x14ac:dyDescent="0.3">
      <c r="B228" s="58" t="s">
        <v>89</v>
      </c>
      <c r="C228" s="68"/>
      <c r="D228" s="64"/>
      <c r="E228" s="32">
        <v>5</v>
      </c>
      <c r="F228" s="8">
        <v>1</v>
      </c>
      <c r="I228" s="8"/>
      <c r="L228" s="4">
        <v>1</v>
      </c>
      <c r="M228" s="8"/>
      <c r="O228" s="8"/>
      <c r="P228" s="22"/>
      <c r="R228" s="22"/>
    </row>
    <row r="229" spans="2:18" ht="40.200000000000003" customHeight="1" x14ac:dyDescent="0.25">
      <c r="B229" s="56" t="s">
        <v>111</v>
      </c>
      <c r="C229" s="66" t="s">
        <v>43</v>
      </c>
      <c r="D229" s="63" t="s">
        <v>116</v>
      </c>
      <c r="E229" s="31">
        <v>1</v>
      </c>
      <c r="F229" s="7">
        <v>1</v>
      </c>
      <c r="I229" s="7">
        <v>1</v>
      </c>
      <c r="M229" s="7">
        <f>MAX(COUNT(I229:I233)+COUNT(K229:K233),COUNT(J229:J233)+COUNT(L229:L233))</f>
        <v>5</v>
      </c>
      <c r="N229" s="3">
        <f>M229/5</f>
        <v>1</v>
      </c>
      <c r="O229" s="7">
        <f>SUM(I229:I233,K229:K233)</f>
        <v>5</v>
      </c>
      <c r="P229" s="18">
        <f>O229/5</f>
        <v>1</v>
      </c>
    </row>
    <row r="230" spans="2:18" ht="26.4" x14ac:dyDescent="0.25">
      <c r="B230" s="57" t="s">
        <v>111</v>
      </c>
      <c r="C230" s="67"/>
      <c r="D230" s="63"/>
      <c r="E230" s="31">
        <v>2</v>
      </c>
      <c r="F230" s="7">
        <v>1</v>
      </c>
      <c r="I230" s="7">
        <v>1</v>
      </c>
    </row>
    <row r="231" spans="2:18" ht="26.4" x14ac:dyDescent="0.25">
      <c r="B231" s="57" t="s">
        <v>111</v>
      </c>
      <c r="C231" s="67"/>
      <c r="D231" s="63"/>
      <c r="E231" s="31">
        <v>3</v>
      </c>
      <c r="F231" s="7">
        <v>1</v>
      </c>
      <c r="I231" s="7">
        <v>1</v>
      </c>
    </row>
    <row r="232" spans="2:18" ht="26.4" x14ac:dyDescent="0.25">
      <c r="B232" s="57" t="s">
        <v>111</v>
      </c>
      <c r="C232" s="67"/>
      <c r="D232" s="63"/>
      <c r="E232" s="31">
        <v>4</v>
      </c>
      <c r="F232" s="7">
        <v>1</v>
      </c>
      <c r="I232" s="7">
        <v>1</v>
      </c>
    </row>
    <row r="233" spans="2:18" s="4" customFormat="1" ht="27" thickBot="1" x14ac:dyDescent="0.3">
      <c r="B233" s="58" t="s">
        <v>111</v>
      </c>
      <c r="C233" s="68"/>
      <c r="D233" s="64"/>
      <c r="E233" s="32">
        <v>5</v>
      </c>
      <c r="F233" s="8">
        <v>1</v>
      </c>
      <c r="I233" s="8">
        <v>1</v>
      </c>
      <c r="M233" s="8"/>
      <c r="O233" s="8"/>
      <c r="P233" s="22"/>
      <c r="R233" s="22"/>
    </row>
    <row r="234" spans="2:18" ht="40.200000000000003" customHeight="1" x14ac:dyDescent="0.25">
      <c r="B234" s="56" t="s">
        <v>111</v>
      </c>
      <c r="C234" s="66" t="s">
        <v>44</v>
      </c>
      <c r="D234" s="63" t="s">
        <v>116</v>
      </c>
      <c r="E234" s="31">
        <v>1</v>
      </c>
      <c r="F234" s="7">
        <v>1</v>
      </c>
      <c r="L234" s="3">
        <v>1</v>
      </c>
      <c r="M234" s="7">
        <f>MAX(COUNT(I234:I238)+COUNT(K234:K238),COUNT(J234:J238)+COUNT(L234:L238))</f>
        <v>5</v>
      </c>
      <c r="N234" s="3">
        <f>M234/5</f>
        <v>1</v>
      </c>
      <c r="O234" s="7">
        <f>SUM(I234:I238,K234:K238)</f>
        <v>0</v>
      </c>
      <c r="P234" s="18">
        <f>O234/5</f>
        <v>0</v>
      </c>
    </row>
    <row r="235" spans="2:18" ht="26.4" x14ac:dyDescent="0.25">
      <c r="B235" s="57" t="s">
        <v>111</v>
      </c>
      <c r="C235" s="67"/>
      <c r="D235" s="63"/>
      <c r="E235" s="31">
        <v>2</v>
      </c>
      <c r="F235" s="7">
        <v>1</v>
      </c>
      <c r="L235" s="3">
        <v>1</v>
      </c>
    </row>
    <row r="236" spans="2:18" ht="26.4" x14ac:dyDescent="0.25">
      <c r="B236" s="57" t="s">
        <v>111</v>
      </c>
      <c r="C236" s="67"/>
      <c r="D236" s="63"/>
      <c r="E236" s="31">
        <v>3</v>
      </c>
      <c r="F236" s="7">
        <v>1</v>
      </c>
      <c r="L236" s="3">
        <v>1</v>
      </c>
    </row>
    <row r="237" spans="2:18" ht="26.4" x14ac:dyDescent="0.25">
      <c r="B237" s="57" t="s">
        <v>111</v>
      </c>
      <c r="C237" s="67"/>
      <c r="D237" s="63"/>
      <c r="E237" s="31">
        <v>4</v>
      </c>
      <c r="F237" s="7">
        <v>1</v>
      </c>
      <c r="L237" s="3">
        <v>1</v>
      </c>
    </row>
    <row r="238" spans="2:18" s="4" customFormat="1" ht="27" thickBot="1" x14ac:dyDescent="0.3">
      <c r="B238" s="58" t="s">
        <v>111</v>
      </c>
      <c r="C238" s="68"/>
      <c r="D238" s="64"/>
      <c r="E238" s="32">
        <v>5</v>
      </c>
      <c r="F238" s="8">
        <v>1</v>
      </c>
      <c r="I238" s="8"/>
      <c r="L238" s="4">
        <v>1</v>
      </c>
      <c r="M238" s="8"/>
      <c r="O238" s="8"/>
      <c r="P238" s="22"/>
      <c r="R238" s="22"/>
    </row>
    <row r="239" spans="2:18" ht="66.599999999999994" customHeight="1" x14ac:dyDescent="0.25">
      <c r="B239" s="56" t="s">
        <v>111</v>
      </c>
      <c r="C239" s="66" t="s">
        <v>45</v>
      </c>
      <c r="D239" s="63" t="s">
        <v>116</v>
      </c>
      <c r="E239" s="31">
        <v>1</v>
      </c>
      <c r="F239" s="7">
        <v>1</v>
      </c>
      <c r="L239" s="3">
        <v>1</v>
      </c>
      <c r="M239" s="7">
        <f>MAX(COUNT(I239:I243)+COUNT(K239:K243),COUNT(J239:J243)+COUNT(L239:L243))</f>
        <v>5</v>
      </c>
      <c r="N239" s="3">
        <f>M239/5</f>
        <v>1</v>
      </c>
      <c r="O239" s="7">
        <f>SUM(I239:I243,K239:K243)</f>
        <v>0</v>
      </c>
      <c r="P239" s="18">
        <f>O239/5</f>
        <v>0</v>
      </c>
    </row>
    <row r="240" spans="2:18" ht="26.4" x14ac:dyDescent="0.25">
      <c r="B240" s="57" t="s">
        <v>111</v>
      </c>
      <c r="C240" s="67"/>
      <c r="D240" s="63"/>
      <c r="E240" s="31">
        <v>2</v>
      </c>
      <c r="F240" s="7">
        <v>1</v>
      </c>
      <c r="L240" s="3">
        <v>1</v>
      </c>
    </row>
    <row r="241" spans="2:18" ht="26.4" x14ac:dyDescent="0.25">
      <c r="B241" s="57" t="s">
        <v>111</v>
      </c>
      <c r="C241" s="67"/>
      <c r="D241" s="63"/>
      <c r="E241" s="31">
        <v>3</v>
      </c>
      <c r="F241" s="7">
        <v>1</v>
      </c>
      <c r="L241" s="3">
        <v>1</v>
      </c>
    </row>
    <row r="242" spans="2:18" ht="26.4" x14ac:dyDescent="0.25">
      <c r="B242" s="57" t="s">
        <v>111</v>
      </c>
      <c r="C242" s="67"/>
      <c r="D242" s="63"/>
      <c r="E242" s="31">
        <v>4</v>
      </c>
      <c r="F242" s="7">
        <v>1</v>
      </c>
      <c r="L242" s="3">
        <v>1</v>
      </c>
    </row>
    <row r="243" spans="2:18" s="4" customFormat="1" ht="27" thickBot="1" x14ac:dyDescent="0.3">
      <c r="B243" s="58" t="s">
        <v>111</v>
      </c>
      <c r="C243" s="68"/>
      <c r="D243" s="64"/>
      <c r="E243" s="32">
        <v>5</v>
      </c>
      <c r="F243" s="8">
        <v>1</v>
      </c>
      <c r="I243" s="8"/>
      <c r="L243" s="4">
        <v>1</v>
      </c>
      <c r="M243" s="8"/>
      <c r="O243" s="8"/>
      <c r="P243" s="22"/>
      <c r="R243" s="22"/>
    </row>
    <row r="244" spans="2:18" ht="40.200000000000003" customHeight="1" x14ac:dyDescent="0.25">
      <c r="B244" s="56" t="s">
        <v>111</v>
      </c>
      <c r="C244" s="66" t="s">
        <v>46</v>
      </c>
      <c r="D244" s="63" t="s">
        <v>116</v>
      </c>
      <c r="E244" s="31">
        <v>1</v>
      </c>
      <c r="F244" s="7">
        <v>1</v>
      </c>
      <c r="L244" s="3">
        <v>1</v>
      </c>
      <c r="M244" s="7">
        <f>MAX(COUNT(I244:I248)+COUNT(K244:K248),COUNT(J244:J248)+COUNT(L244:L248))</f>
        <v>5</v>
      </c>
      <c r="N244" s="3">
        <f>M244/5</f>
        <v>1</v>
      </c>
      <c r="O244" s="7">
        <f>SUM(I244:I248,K244:K248)</f>
        <v>0</v>
      </c>
      <c r="P244" s="18">
        <f>O244/5</f>
        <v>0</v>
      </c>
    </row>
    <row r="245" spans="2:18" ht="26.4" x14ac:dyDescent="0.25">
      <c r="B245" s="57" t="s">
        <v>111</v>
      </c>
      <c r="C245" s="67"/>
      <c r="D245" s="63"/>
      <c r="E245" s="31">
        <v>2</v>
      </c>
      <c r="F245" s="7">
        <v>1</v>
      </c>
      <c r="L245" s="3">
        <v>1</v>
      </c>
    </row>
    <row r="246" spans="2:18" ht="26.4" x14ac:dyDescent="0.25">
      <c r="B246" s="57" t="s">
        <v>111</v>
      </c>
      <c r="C246" s="67"/>
      <c r="D246" s="63"/>
      <c r="E246" s="31">
        <v>3</v>
      </c>
      <c r="F246" s="7">
        <v>1</v>
      </c>
      <c r="L246" s="3">
        <v>1</v>
      </c>
    </row>
    <row r="247" spans="2:18" ht="26.4" x14ac:dyDescent="0.25">
      <c r="B247" s="57" t="s">
        <v>111</v>
      </c>
      <c r="C247" s="67"/>
      <c r="D247" s="63"/>
      <c r="E247" s="31">
        <v>4</v>
      </c>
      <c r="F247" s="7">
        <v>1</v>
      </c>
      <c r="L247" s="3">
        <v>1</v>
      </c>
    </row>
    <row r="248" spans="2:18" s="4" customFormat="1" ht="27" thickBot="1" x14ac:dyDescent="0.3">
      <c r="B248" s="58" t="s">
        <v>111</v>
      </c>
      <c r="C248" s="68"/>
      <c r="D248" s="64"/>
      <c r="E248" s="32">
        <v>5</v>
      </c>
      <c r="F248" s="8">
        <v>1</v>
      </c>
      <c r="I248" s="8"/>
      <c r="L248" s="4">
        <v>1</v>
      </c>
      <c r="M248" s="8"/>
      <c r="O248" s="8"/>
      <c r="P248" s="22"/>
      <c r="R248" s="22"/>
    </row>
    <row r="249" spans="2:18" ht="53.4" customHeight="1" x14ac:dyDescent="0.25">
      <c r="B249" s="56" t="s">
        <v>90</v>
      </c>
      <c r="C249" s="66" t="s">
        <v>47</v>
      </c>
      <c r="D249" s="63" t="s">
        <v>116</v>
      </c>
      <c r="E249" s="31">
        <v>1</v>
      </c>
      <c r="F249" s="7">
        <v>1</v>
      </c>
      <c r="L249" s="3">
        <v>1</v>
      </c>
      <c r="M249" s="7">
        <f>MAX(COUNT(I249:I253)+COUNT(K249:K253),COUNT(J249:J253)+COUNT(L249:L253))</f>
        <v>5</v>
      </c>
      <c r="N249" s="3">
        <f>M249/5</f>
        <v>1</v>
      </c>
      <c r="O249" s="7">
        <f>SUM(I249:I253,K249:K253)</f>
        <v>0</v>
      </c>
      <c r="P249" s="18">
        <f>O249/5</f>
        <v>0</v>
      </c>
    </row>
    <row r="250" spans="2:18" x14ac:dyDescent="0.25">
      <c r="B250" s="57" t="s">
        <v>90</v>
      </c>
      <c r="C250" s="67"/>
      <c r="D250" s="63"/>
      <c r="E250" s="31">
        <v>2</v>
      </c>
      <c r="F250" s="7">
        <v>1</v>
      </c>
      <c r="L250" s="3">
        <v>1</v>
      </c>
    </row>
    <row r="251" spans="2:18" x14ac:dyDescent="0.25">
      <c r="B251" s="57" t="s">
        <v>90</v>
      </c>
      <c r="C251" s="67"/>
      <c r="D251" s="63"/>
      <c r="E251" s="31">
        <v>3</v>
      </c>
      <c r="F251" s="7">
        <v>1</v>
      </c>
      <c r="L251" s="3">
        <v>1</v>
      </c>
    </row>
    <row r="252" spans="2:18" x14ac:dyDescent="0.25">
      <c r="B252" s="57" t="s">
        <v>90</v>
      </c>
      <c r="C252" s="67"/>
      <c r="D252" s="63"/>
      <c r="E252" s="31">
        <v>4</v>
      </c>
      <c r="F252" s="7">
        <v>1</v>
      </c>
      <c r="L252" s="3">
        <v>1</v>
      </c>
    </row>
    <row r="253" spans="2:18" s="4" customFormat="1" ht="13.8" thickBot="1" x14ac:dyDescent="0.3">
      <c r="B253" s="58" t="s">
        <v>90</v>
      </c>
      <c r="C253" s="68"/>
      <c r="D253" s="64"/>
      <c r="E253" s="32">
        <v>5</v>
      </c>
      <c r="F253" s="8">
        <v>1</v>
      </c>
      <c r="I253" s="8"/>
      <c r="L253" s="4">
        <v>1</v>
      </c>
      <c r="M253" s="8"/>
      <c r="O253" s="8"/>
      <c r="P253" s="22"/>
      <c r="R253" s="22"/>
    </row>
    <row r="254" spans="2:18" ht="27" customHeight="1" x14ac:dyDescent="0.25">
      <c r="B254" s="56" t="s">
        <v>91</v>
      </c>
      <c r="C254" s="66" t="s">
        <v>48</v>
      </c>
      <c r="D254" s="63" t="s">
        <v>116</v>
      </c>
      <c r="E254" s="31">
        <v>1</v>
      </c>
      <c r="F254" s="7">
        <v>1</v>
      </c>
      <c r="L254" s="3">
        <v>1</v>
      </c>
      <c r="M254" s="7">
        <f>MAX(COUNT(I254:I258)+COUNT(K254:K258),COUNT(J254:J258)+COUNT(L254:L258))</f>
        <v>5</v>
      </c>
      <c r="N254" s="3">
        <f>M254/5</f>
        <v>1</v>
      </c>
      <c r="O254" s="7">
        <f>SUM(I254:I258,K254:K258)</f>
        <v>0</v>
      </c>
      <c r="P254" s="18">
        <f>O254/5</f>
        <v>0</v>
      </c>
    </row>
    <row r="255" spans="2:18" x14ac:dyDescent="0.25">
      <c r="B255" s="57" t="s">
        <v>91</v>
      </c>
      <c r="C255" s="67"/>
      <c r="D255" s="63"/>
      <c r="E255" s="31">
        <v>2</v>
      </c>
      <c r="F255" s="7">
        <v>1</v>
      </c>
      <c r="L255" s="3">
        <v>1</v>
      </c>
    </row>
    <row r="256" spans="2:18" x14ac:dyDescent="0.25">
      <c r="B256" s="57" t="s">
        <v>91</v>
      </c>
      <c r="C256" s="67"/>
      <c r="D256" s="63"/>
      <c r="E256" s="31">
        <v>3</v>
      </c>
      <c r="F256" s="7">
        <v>1</v>
      </c>
      <c r="L256" s="3">
        <v>1</v>
      </c>
    </row>
    <row r="257" spans="2:18" x14ac:dyDescent="0.25">
      <c r="B257" s="57" t="s">
        <v>91</v>
      </c>
      <c r="C257" s="67"/>
      <c r="D257" s="63"/>
      <c r="E257" s="31">
        <v>4</v>
      </c>
      <c r="F257" s="7">
        <v>1</v>
      </c>
      <c r="L257" s="3">
        <v>1</v>
      </c>
    </row>
    <row r="258" spans="2:18" s="4" customFormat="1" ht="13.8" thickBot="1" x14ac:dyDescent="0.3">
      <c r="B258" s="58" t="s">
        <v>91</v>
      </c>
      <c r="C258" s="68"/>
      <c r="D258" s="64"/>
      <c r="E258" s="32">
        <v>5</v>
      </c>
      <c r="F258" s="8">
        <v>1</v>
      </c>
      <c r="I258" s="8"/>
      <c r="L258" s="4">
        <v>1</v>
      </c>
      <c r="M258" s="8"/>
      <c r="O258" s="8"/>
      <c r="P258" s="22"/>
      <c r="R258" s="22"/>
    </row>
    <row r="259" spans="2:18" ht="27" customHeight="1" x14ac:dyDescent="0.25">
      <c r="B259" s="56" t="s">
        <v>91</v>
      </c>
      <c r="C259" s="66" t="s">
        <v>49</v>
      </c>
      <c r="D259" s="63" t="s">
        <v>116</v>
      </c>
      <c r="E259" s="31">
        <v>1</v>
      </c>
      <c r="F259" s="7">
        <v>1</v>
      </c>
      <c r="L259" s="3">
        <v>1</v>
      </c>
      <c r="M259" s="7">
        <f>MAX(COUNT(I259:I263)+COUNT(K259:K263),COUNT(J259:J263)+COUNT(L259:L263))</f>
        <v>5</v>
      </c>
      <c r="N259" s="3">
        <f>M259/5</f>
        <v>1</v>
      </c>
      <c r="O259" s="7">
        <f>SUM(I259:I263,K259:K263)</f>
        <v>0</v>
      </c>
      <c r="P259" s="18">
        <f>O259/5</f>
        <v>0</v>
      </c>
    </row>
    <row r="260" spans="2:18" x14ac:dyDescent="0.25">
      <c r="B260" s="57" t="s">
        <v>91</v>
      </c>
      <c r="C260" s="67"/>
      <c r="D260" s="63"/>
      <c r="E260" s="31">
        <v>2</v>
      </c>
      <c r="F260" s="7">
        <v>1</v>
      </c>
      <c r="L260" s="3">
        <v>1</v>
      </c>
    </row>
    <row r="261" spans="2:18" x14ac:dyDescent="0.25">
      <c r="B261" s="57" t="s">
        <v>91</v>
      </c>
      <c r="C261" s="67"/>
      <c r="D261" s="63"/>
      <c r="E261" s="31">
        <v>3</v>
      </c>
      <c r="F261" s="7">
        <v>1</v>
      </c>
      <c r="L261" s="3">
        <v>1</v>
      </c>
    </row>
    <row r="262" spans="2:18" x14ac:dyDescent="0.25">
      <c r="B262" s="57" t="s">
        <v>91</v>
      </c>
      <c r="C262" s="67"/>
      <c r="D262" s="63"/>
      <c r="E262" s="31">
        <v>4</v>
      </c>
      <c r="F262" s="7">
        <v>1</v>
      </c>
      <c r="L262" s="3">
        <v>1</v>
      </c>
    </row>
    <row r="263" spans="2:18" s="4" customFormat="1" ht="40.200000000000003" customHeight="1" thickBot="1" x14ac:dyDescent="0.3">
      <c r="B263" s="58" t="s">
        <v>91</v>
      </c>
      <c r="C263" s="68"/>
      <c r="D263" s="64"/>
      <c r="E263" s="32">
        <v>5</v>
      </c>
      <c r="F263" s="8">
        <v>1</v>
      </c>
      <c r="I263" s="8"/>
      <c r="L263" s="4">
        <v>1</v>
      </c>
      <c r="M263" s="8"/>
      <c r="O263" s="8"/>
      <c r="P263" s="22"/>
      <c r="R263" s="22"/>
    </row>
    <row r="264" spans="2:18" ht="53.4" customHeight="1" x14ac:dyDescent="0.25">
      <c r="B264" s="56" t="s">
        <v>91</v>
      </c>
      <c r="C264" s="66" t="s">
        <v>50</v>
      </c>
      <c r="D264" s="63" t="s">
        <v>116</v>
      </c>
      <c r="E264" s="31">
        <v>1</v>
      </c>
      <c r="F264" s="7">
        <v>1</v>
      </c>
      <c r="L264" s="3">
        <v>1</v>
      </c>
      <c r="M264" s="7">
        <f>MAX(COUNT(I264:I268)+COUNT(K264:K268),COUNT(J264:J268)+COUNT(L264:L268))</f>
        <v>5</v>
      </c>
      <c r="N264" s="3">
        <f>M264/5</f>
        <v>1</v>
      </c>
      <c r="O264" s="7">
        <f>SUM(I264:I268,K264:K268)</f>
        <v>0</v>
      </c>
      <c r="P264" s="18">
        <f>O264/5</f>
        <v>0</v>
      </c>
    </row>
    <row r="265" spans="2:18" x14ac:dyDescent="0.25">
      <c r="B265" s="57" t="s">
        <v>91</v>
      </c>
      <c r="C265" s="67"/>
      <c r="D265" s="63"/>
      <c r="E265" s="31">
        <v>2</v>
      </c>
      <c r="F265" s="7">
        <v>1</v>
      </c>
      <c r="L265" s="3">
        <v>1</v>
      </c>
    </row>
    <row r="266" spans="2:18" x14ac:dyDescent="0.25">
      <c r="B266" s="57" t="s">
        <v>91</v>
      </c>
      <c r="C266" s="67"/>
      <c r="D266" s="63"/>
      <c r="E266" s="31">
        <v>3</v>
      </c>
      <c r="F266" s="7">
        <v>1</v>
      </c>
      <c r="L266" s="3">
        <v>1</v>
      </c>
    </row>
    <row r="267" spans="2:18" x14ac:dyDescent="0.25">
      <c r="B267" s="57" t="s">
        <v>91</v>
      </c>
      <c r="C267" s="67"/>
      <c r="D267" s="63"/>
      <c r="E267" s="31">
        <v>4</v>
      </c>
      <c r="F267" s="7">
        <v>1</v>
      </c>
      <c r="L267" s="3">
        <v>1</v>
      </c>
    </row>
    <row r="268" spans="2:18" s="4" customFormat="1" ht="13.8" thickBot="1" x14ac:dyDescent="0.3">
      <c r="B268" s="58" t="s">
        <v>91</v>
      </c>
      <c r="C268" s="68"/>
      <c r="D268" s="64"/>
      <c r="E268" s="32">
        <v>5</v>
      </c>
      <c r="F268" s="8">
        <v>1</v>
      </c>
      <c r="I268" s="8"/>
      <c r="L268" s="4">
        <v>1</v>
      </c>
      <c r="M268" s="8"/>
      <c r="O268" s="8"/>
      <c r="P268" s="22"/>
      <c r="R268" s="22"/>
    </row>
    <row r="269" spans="2:18" ht="53.4" customHeight="1" x14ac:dyDescent="0.25">
      <c r="B269" s="56" t="s">
        <v>91</v>
      </c>
      <c r="C269" s="66" t="s">
        <v>51</v>
      </c>
      <c r="D269" s="63" t="s">
        <v>116</v>
      </c>
      <c r="E269" s="31">
        <v>1</v>
      </c>
      <c r="F269" s="7">
        <v>1</v>
      </c>
      <c r="L269" s="3">
        <v>1</v>
      </c>
      <c r="M269" s="7">
        <f>MAX(COUNT(I269:I273)+COUNT(K269:K273),COUNT(J269:J273)+COUNT(L269:L273))</f>
        <v>5</v>
      </c>
      <c r="N269" s="3">
        <f>M269/5</f>
        <v>1</v>
      </c>
      <c r="O269" s="7">
        <f>SUM(I269:I273,K269:K273)</f>
        <v>0</v>
      </c>
      <c r="P269" s="18">
        <f>O269/5</f>
        <v>0</v>
      </c>
    </row>
    <row r="270" spans="2:18" x14ac:dyDescent="0.25">
      <c r="B270" s="57" t="s">
        <v>91</v>
      </c>
      <c r="C270" s="67"/>
      <c r="D270" s="63"/>
      <c r="E270" s="31">
        <v>2</v>
      </c>
      <c r="F270" s="7">
        <v>1</v>
      </c>
      <c r="L270" s="3">
        <v>1</v>
      </c>
    </row>
    <row r="271" spans="2:18" x14ac:dyDescent="0.25">
      <c r="B271" s="57" t="s">
        <v>91</v>
      </c>
      <c r="C271" s="67"/>
      <c r="D271" s="63"/>
      <c r="E271" s="31">
        <v>3</v>
      </c>
      <c r="F271" s="7">
        <v>1</v>
      </c>
      <c r="L271" s="3">
        <v>1</v>
      </c>
    </row>
    <row r="272" spans="2:18" x14ac:dyDescent="0.25">
      <c r="B272" s="57" t="s">
        <v>91</v>
      </c>
      <c r="C272" s="67"/>
      <c r="D272" s="63"/>
      <c r="E272" s="31">
        <v>4</v>
      </c>
      <c r="F272" s="7">
        <v>1</v>
      </c>
      <c r="L272" s="3">
        <v>1</v>
      </c>
    </row>
    <row r="273" spans="2:18" s="4" customFormat="1" ht="13.8" thickBot="1" x14ac:dyDescent="0.3">
      <c r="B273" s="58" t="s">
        <v>91</v>
      </c>
      <c r="C273" s="68"/>
      <c r="D273" s="64"/>
      <c r="E273" s="32">
        <v>5</v>
      </c>
      <c r="F273" s="8">
        <v>1</v>
      </c>
      <c r="I273" s="8"/>
      <c r="L273" s="4">
        <v>1</v>
      </c>
      <c r="M273" s="8"/>
      <c r="O273" s="8"/>
      <c r="P273" s="22"/>
      <c r="R273" s="22"/>
    </row>
    <row r="274" spans="2:18" ht="40.200000000000003" customHeight="1" x14ac:dyDescent="0.25">
      <c r="B274" s="56" t="s">
        <v>91</v>
      </c>
      <c r="C274" s="66" t="s">
        <v>80</v>
      </c>
      <c r="D274" s="63" t="s">
        <v>116</v>
      </c>
      <c r="E274" s="31">
        <v>1</v>
      </c>
      <c r="F274" s="7">
        <v>1</v>
      </c>
      <c r="L274" s="3">
        <v>1</v>
      </c>
      <c r="M274" s="7">
        <f>MAX(COUNT(I274:I278)+COUNT(K274:K278),COUNT(J274:J278)+COUNT(L274:L278))</f>
        <v>5</v>
      </c>
      <c r="N274" s="3">
        <f>M274/5</f>
        <v>1</v>
      </c>
      <c r="O274" s="7">
        <f>SUM(I274:I278,K274:K278)</f>
        <v>0</v>
      </c>
      <c r="P274" s="18">
        <f>O274/5</f>
        <v>0</v>
      </c>
    </row>
    <row r="275" spans="2:18" x14ac:dyDescent="0.25">
      <c r="B275" s="57" t="s">
        <v>91</v>
      </c>
      <c r="C275" s="67"/>
      <c r="D275" s="63"/>
      <c r="E275" s="31">
        <v>2</v>
      </c>
      <c r="F275" s="7">
        <v>1</v>
      </c>
      <c r="L275" s="3">
        <v>1</v>
      </c>
    </row>
    <row r="276" spans="2:18" x14ac:dyDescent="0.25">
      <c r="B276" s="57" t="s">
        <v>91</v>
      </c>
      <c r="C276" s="67"/>
      <c r="D276" s="63"/>
      <c r="E276" s="31">
        <v>3</v>
      </c>
      <c r="F276" s="7">
        <v>1</v>
      </c>
      <c r="L276" s="3">
        <v>1</v>
      </c>
    </row>
    <row r="277" spans="2:18" x14ac:dyDescent="0.25">
      <c r="B277" s="57" t="s">
        <v>91</v>
      </c>
      <c r="C277" s="67"/>
      <c r="D277" s="63"/>
      <c r="E277" s="31">
        <v>4</v>
      </c>
      <c r="F277" s="7">
        <v>1</v>
      </c>
      <c r="L277" s="3">
        <v>1</v>
      </c>
    </row>
    <row r="278" spans="2:18" s="4" customFormat="1" ht="13.8" thickBot="1" x14ac:dyDescent="0.3">
      <c r="B278" s="58" t="s">
        <v>91</v>
      </c>
      <c r="C278" s="68"/>
      <c r="D278" s="64"/>
      <c r="E278" s="32">
        <v>5</v>
      </c>
      <c r="F278" s="8">
        <v>1</v>
      </c>
      <c r="I278" s="8"/>
      <c r="L278" s="4">
        <v>1</v>
      </c>
      <c r="M278" s="8"/>
      <c r="O278" s="8"/>
      <c r="P278" s="22"/>
      <c r="R278" s="22"/>
    </row>
    <row r="279" spans="2:18" ht="40.200000000000003" customHeight="1" x14ac:dyDescent="0.25">
      <c r="B279" s="56" t="s">
        <v>91</v>
      </c>
      <c r="C279" s="66" t="s">
        <v>81</v>
      </c>
      <c r="D279" s="63" t="s">
        <v>116</v>
      </c>
      <c r="E279" s="31">
        <v>1</v>
      </c>
      <c r="F279" s="7">
        <v>1</v>
      </c>
      <c r="L279" s="3">
        <v>1</v>
      </c>
      <c r="M279" s="7">
        <f>MAX(COUNT(I279:I283)+COUNT(K279:K283),COUNT(J279:J283)+COUNT(L279:L283))</f>
        <v>5</v>
      </c>
      <c r="N279" s="3">
        <f>M279/5</f>
        <v>1</v>
      </c>
      <c r="O279" s="7">
        <f>SUM(I279:I283,K279:K283)</f>
        <v>0</v>
      </c>
      <c r="P279" s="18">
        <f>O279/5</f>
        <v>0</v>
      </c>
    </row>
    <row r="280" spans="2:18" x14ac:dyDescent="0.25">
      <c r="B280" s="57" t="s">
        <v>91</v>
      </c>
      <c r="C280" s="67"/>
      <c r="D280" s="63"/>
      <c r="E280" s="31">
        <v>2</v>
      </c>
      <c r="F280" s="7">
        <v>1</v>
      </c>
      <c r="L280" s="3">
        <v>1</v>
      </c>
    </row>
    <row r="281" spans="2:18" x14ac:dyDescent="0.25">
      <c r="B281" s="57" t="s">
        <v>91</v>
      </c>
      <c r="C281" s="67"/>
      <c r="D281" s="63"/>
      <c r="E281" s="31">
        <v>3</v>
      </c>
      <c r="F281" s="7">
        <v>1</v>
      </c>
      <c r="L281" s="3">
        <v>1</v>
      </c>
    </row>
    <row r="282" spans="2:18" x14ac:dyDescent="0.25">
      <c r="B282" s="57" t="s">
        <v>91</v>
      </c>
      <c r="C282" s="67"/>
      <c r="D282" s="63"/>
      <c r="E282" s="31">
        <v>4</v>
      </c>
      <c r="F282" s="7">
        <v>1</v>
      </c>
      <c r="L282" s="3">
        <v>1</v>
      </c>
    </row>
    <row r="283" spans="2:18" s="4" customFormat="1" ht="13.8" thickBot="1" x14ac:dyDescent="0.3">
      <c r="B283" s="58" t="s">
        <v>91</v>
      </c>
      <c r="C283" s="68"/>
      <c r="D283" s="64"/>
      <c r="E283" s="32">
        <v>5</v>
      </c>
      <c r="F283" s="8">
        <v>1</v>
      </c>
      <c r="I283" s="8"/>
      <c r="L283" s="4">
        <v>1</v>
      </c>
      <c r="M283" s="8"/>
      <c r="O283" s="8"/>
      <c r="P283" s="22"/>
      <c r="R283" s="22"/>
    </row>
    <row r="284" spans="2:18" ht="27" customHeight="1" x14ac:dyDescent="0.25">
      <c r="B284" s="56" t="s">
        <v>92</v>
      </c>
      <c r="C284" s="66" t="s">
        <v>52</v>
      </c>
      <c r="D284" s="63" t="s">
        <v>116</v>
      </c>
      <c r="E284" s="31">
        <v>1</v>
      </c>
      <c r="F284" s="7">
        <v>1</v>
      </c>
      <c r="I284" s="7">
        <v>1</v>
      </c>
      <c r="M284" s="7">
        <f>MAX(COUNT(I284:I288)+COUNT(K284:K288),COUNT(J284:J288)+COUNT(L284:L288))</f>
        <v>5</v>
      </c>
      <c r="N284" s="3">
        <f>M284/5</f>
        <v>1</v>
      </c>
      <c r="O284" s="7">
        <f>SUM(I284:I288,K284:K288)</f>
        <v>5</v>
      </c>
      <c r="P284" s="18">
        <f>O284/5</f>
        <v>1</v>
      </c>
    </row>
    <row r="285" spans="2:18" x14ac:dyDescent="0.25">
      <c r="B285" s="57" t="s">
        <v>92</v>
      </c>
      <c r="C285" s="67"/>
      <c r="D285" s="63"/>
      <c r="E285" s="31">
        <v>2</v>
      </c>
      <c r="F285" s="7">
        <v>1</v>
      </c>
      <c r="I285" s="7">
        <v>1</v>
      </c>
    </row>
    <row r="286" spans="2:18" x14ac:dyDescent="0.25">
      <c r="B286" s="57" t="s">
        <v>92</v>
      </c>
      <c r="C286" s="67"/>
      <c r="D286" s="63"/>
      <c r="E286" s="31">
        <v>3</v>
      </c>
      <c r="F286" s="7">
        <v>1</v>
      </c>
      <c r="I286" s="7">
        <v>1</v>
      </c>
    </row>
    <row r="287" spans="2:18" x14ac:dyDescent="0.25">
      <c r="B287" s="57" t="s">
        <v>92</v>
      </c>
      <c r="C287" s="67"/>
      <c r="D287" s="63"/>
      <c r="E287" s="31">
        <v>4</v>
      </c>
      <c r="F287" s="7">
        <v>1</v>
      </c>
      <c r="I287" s="7">
        <v>1</v>
      </c>
    </row>
    <row r="288" spans="2:18" s="4" customFormat="1" ht="13.8" thickBot="1" x14ac:dyDescent="0.3">
      <c r="B288" s="58" t="s">
        <v>92</v>
      </c>
      <c r="C288" s="68"/>
      <c r="D288" s="64"/>
      <c r="E288" s="32">
        <v>5</v>
      </c>
      <c r="F288" s="8">
        <v>1</v>
      </c>
      <c r="I288" s="8">
        <v>1</v>
      </c>
      <c r="M288" s="8"/>
      <c r="O288" s="8"/>
      <c r="P288" s="22"/>
      <c r="R288" s="22"/>
    </row>
    <row r="289" spans="2:18" ht="27" customHeight="1" x14ac:dyDescent="0.25">
      <c r="B289" s="56" t="s">
        <v>92</v>
      </c>
      <c r="C289" s="66" t="s">
        <v>53</v>
      </c>
      <c r="D289" s="63" t="s">
        <v>116</v>
      </c>
      <c r="E289" s="31">
        <v>1</v>
      </c>
      <c r="F289" s="7">
        <v>1</v>
      </c>
      <c r="I289" s="7">
        <v>1</v>
      </c>
      <c r="M289" s="7">
        <f>MAX(COUNT(I289:I293)+COUNT(K289:K293),COUNT(J289:J293)+COUNT(L289:L293))</f>
        <v>5</v>
      </c>
      <c r="N289" s="3">
        <f>M289/5</f>
        <v>1</v>
      </c>
      <c r="O289" s="7">
        <f>SUM(I289:I293,K289:K293)</f>
        <v>5</v>
      </c>
      <c r="P289" s="18">
        <f>O289/5</f>
        <v>1</v>
      </c>
    </row>
    <row r="290" spans="2:18" x14ac:dyDescent="0.25">
      <c r="B290" s="57" t="s">
        <v>92</v>
      </c>
      <c r="C290" s="67"/>
      <c r="D290" s="63"/>
      <c r="E290" s="31">
        <v>2</v>
      </c>
      <c r="F290" s="7">
        <v>1</v>
      </c>
      <c r="I290" s="7">
        <v>1</v>
      </c>
    </row>
    <row r="291" spans="2:18" x14ac:dyDescent="0.25">
      <c r="B291" s="57" t="s">
        <v>92</v>
      </c>
      <c r="C291" s="67"/>
      <c r="D291" s="63"/>
      <c r="E291" s="31">
        <v>3</v>
      </c>
      <c r="F291" s="7">
        <v>1</v>
      </c>
      <c r="I291" s="7">
        <v>1</v>
      </c>
    </row>
    <row r="292" spans="2:18" x14ac:dyDescent="0.25">
      <c r="B292" s="57" t="s">
        <v>92</v>
      </c>
      <c r="C292" s="67"/>
      <c r="D292" s="63"/>
      <c r="E292" s="31">
        <v>4</v>
      </c>
      <c r="F292" s="7">
        <v>1</v>
      </c>
      <c r="I292" s="7">
        <v>1</v>
      </c>
    </row>
    <row r="293" spans="2:18" s="4" customFormat="1" ht="13.8" thickBot="1" x14ac:dyDescent="0.3">
      <c r="B293" s="58" t="s">
        <v>92</v>
      </c>
      <c r="C293" s="68"/>
      <c r="D293" s="64"/>
      <c r="E293" s="32">
        <v>5</v>
      </c>
      <c r="F293" s="8">
        <v>1</v>
      </c>
      <c r="I293" s="8">
        <v>1</v>
      </c>
      <c r="M293" s="8"/>
      <c r="O293" s="8"/>
      <c r="P293" s="22"/>
      <c r="R293" s="22"/>
    </row>
    <row r="294" spans="2:18" ht="27" customHeight="1" x14ac:dyDescent="0.25">
      <c r="B294" s="56" t="s">
        <v>92</v>
      </c>
      <c r="C294" s="66" t="s">
        <v>54</v>
      </c>
      <c r="D294" s="63" t="s">
        <v>116</v>
      </c>
      <c r="E294" s="31">
        <v>1</v>
      </c>
      <c r="F294" s="7">
        <v>1</v>
      </c>
      <c r="I294" s="7">
        <v>1</v>
      </c>
      <c r="M294" s="7">
        <f>MAX(COUNT(I294:I298)+COUNT(K294:K298),COUNT(J294:J298)+COUNT(L294:L298))</f>
        <v>5</v>
      </c>
      <c r="N294" s="3">
        <f>M294/5</f>
        <v>1</v>
      </c>
      <c r="O294" s="7">
        <f>SUM(I294:I298,K294:K298)</f>
        <v>5</v>
      </c>
      <c r="P294" s="18">
        <f>O294/5</f>
        <v>1</v>
      </c>
    </row>
    <row r="295" spans="2:18" x14ac:dyDescent="0.25">
      <c r="B295" s="57" t="s">
        <v>92</v>
      </c>
      <c r="C295" s="67"/>
      <c r="D295" s="63"/>
      <c r="E295" s="31">
        <v>2</v>
      </c>
      <c r="F295" s="7">
        <v>1</v>
      </c>
      <c r="I295" s="7">
        <v>1</v>
      </c>
    </row>
    <row r="296" spans="2:18" x14ac:dyDescent="0.25">
      <c r="B296" s="57" t="s">
        <v>92</v>
      </c>
      <c r="C296" s="67"/>
      <c r="D296" s="63"/>
      <c r="E296" s="31">
        <v>3</v>
      </c>
      <c r="F296" s="7">
        <v>1</v>
      </c>
      <c r="I296" s="7">
        <v>1</v>
      </c>
    </row>
    <row r="297" spans="2:18" x14ac:dyDescent="0.25">
      <c r="B297" s="57" t="s">
        <v>92</v>
      </c>
      <c r="C297" s="67"/>
      <c r="D297" s="63"/>
      <c r="E297" s="31">
        <v>4</v>
      </c>
      <c r="F297" s="7">
        <v>1</v>
      </c>
      <c r="I297" s="7">
        <v>1</v>
      </c>
    </row>
    <row r="298" spans="2:18" s="4" customFormat="1" ht="13.8" thickBot="1" x14ac:dyDescent="0.3">
      <c r="B298" s="58" t="s">
        <v>92</v>
      </c>
      <c r="C298" s="68"/>
      <c r="D298" s="64"/>
      <c r="E298" s="32">
        <v>5</v>
      </c>
      <c r="F298" s="8">
        <v>1</v>
      </c>
      <c r="I298" s="8">
        <v>1</v>
      </c>
      <c r="M298" s="8"/>
      <c r="O298" s="8"/>
      <c r="P298" s="22"/>
      <c r="R298" s="22"/>
    </row>
    <row r="299" spans="2:18" ht="27" customHeight="1" x14ac:dyDescent="0.25">
      <c r="B299" s="56" t="s">
        <v>92</v>
      </c>
      <c r="C299" s="66" t="s">
        <v>55</v>
      </c>
      <c r="D299" s="63" t="s">
        <v>116</v>
      </c>
      <c r="E299" s="31">
        <v>1</v>
      </c>
      <c r="F299" s="7">
        <v>1</v>
      </c>
      <c r="L299" s="3">
        <v>1</v>
      </c>
      <c r="M299" s="7">
        <f>MAX(COUNT(I299:I303)+COUNT(K299:K303),COUNT(J299:J303)+COUNT(L299:L303))</f>
        <v>5</v>
      </c>
      <c r="N299" s="3">
        <f>M299/5</f>
        <v>1</v>
      </c>
      <c r="O299" s="7">
        <f>SUM(I299:I303,K299:K303)</f>
        <v>0</v>
      </c>
      <c r="P299" s="18">
        <f>O299/5</f>
        <v>0</v>
      </c>
    </row>
    <row r="300" spans="2:18" x14ac:dyDescent="0.25">
      <c r="B300" s="57" t="s">
        <v>92</v>
      </c>
      <c r="C300" s="67"/>
      <c r="D300" s="63"/>
      <c r="E300" s="31">
        <v>2</v>
      </c>
      <c r="F300" s="7">
        <v>1</v>
      </c>
      <c r="L300" s="3">
        <v>1</v>
      </c>
    </row>
    <row r="301" spans="2:18" x14ac:dyDescent="0.25">
      <c r="B301" s="57" t="s">
        <v>92</v>
      </c>
      <c r="C301" s="67"/>
      <c r="D301" s="63"/>
      <c r="E301" s="31">
        <v>3</v>
      </c>
      <c r="F301" s="7">
        <v>1</v>
      </c>
      <c r="L301" s="3">
        <v>1</v>
      </c>
    </row>
    <row r="302" spans="2:18" x14ac:dyDescent="0.25">
      <c r="B302" s="57" t="s">
        <v>92</v>
      </c>
      <c r="C302" s="67"/>
      <c r="D302" s="63"/>
      <c r="E302" s="31">
        <v>4</v>
      </c>
      <c r="F302" s="7">
        <v>1</v>
      </c>
      <c r="L302" s="3">
        <v>1</v>
      </c>
    </row>
    <row r="303" spans="2:18" s="4" customFormat="1" ht="13.8" thickBot="1" x14ac:dyDescent="0.3">
      <c r="B303" s="58" t="s">
        <v>92</v>
      </c>
      <c r="C303" s="68"/>
      <c r="D303" s="64"/>
      <c r="E303" s="32">
        <v>5</v>
      </c>
      <c r="F303" s="8">
        <v>1</v>
      </c>
      <c r="I303" s="8"/>
      <c r="L303" s="4">
        <v>1</v>
      </c>
      <c r="M303" s="8"/>
      <c r="O303" s="8"/>
      <c r="P303" s="22"/>
      <c r="R303" s="22"/>
    </row>
    <row r="304" spans="2:18" ht="40.200000000000003" customHeight="1" x14ac:dyDescent="0.25">
      <c r="B304" s="56" t="s">
        <v>92</v>
      </c>
      <c r="C304" s="66" t="s">
        <v>56</v>
      </c>
      <c r="D304" s="63" t="s">
        <v>116</v>
      </c>
      <c r="E304" s="31">
        <v>1</v>
      </c>
      <c r="F304" s="7">
        <v>1</v>
      </c>
      <c r="L304" s="3">
        <v>1</v>
      </c>
      <c r="M304" s="7">
        <f>MAX(COUNT(I304:I308)+COUNT(K304:K308),COUNT(J304:J308)+COUNT(L304:L308))</f>
        <v>5</v>
      </c>
      <c r="N304" s="3">
        <f>M304/5</f>
        <v>1</v>
      </c>
      <c r="O304" s="7">
        <f>SUM(I304:I308,K304:K308)</f>
        <v>0</v>
      </c>
      <c r="P304" s="18">
        <f>O304/5</f>
        <v>0</v>
      </c>
    </row>
    <row r="305" spans="2:18" x14ac:dyDescent="0.25">
      <c r="B305" s="57" t="s">
        <v>92</v>
      </c>
      <c r="C305" s="67"/>
      <c r="D305" s="63"/>
      <c r="E305" s="31">
        <v>2</v>
      </c>
      <c r="F305" s="7">
        <v>1</v>
      </c>
      <c r="L305" s="3">
        <v>1</v>
      </c>
    </row>
    <row r="306" spans="2:18" x14ac:dyDescent="0.25">
      <c r="B306" s="57" t="s">
        <v>92</v>
      </c>
      <c r="C306" s="67"/>
      <c r="D306" s="63"/>
      <c r="E306" s="31">
        <v>3</v>
      </c>
      <c r="F306" s="7">
        <v>1</v>
      </c>
      <c r="L306" s="3">
        <v>1</v>
      </c>
    </row>
    <row r="307" spans="2:18" x14ac:dyDescent="0.25">
      <c r="B307" s="57" t="s">
        <v>92</v>
      </c>
      <c r="C307" s="67"/>
      <c r="D307" s="63"/>
      <c r="E307" s="31">
        <v>4</v>
      </c>
      <c r="F307" s="7">
        <v>1</v>
      </c>
      <c r="L307" s="3">
        <v>1</v>
      </c>
    </row>
    <row r="308" spans="2:18" s="4" customFormat="1" ht="13.8" thickBot="1" x14ac:dyDescent="0.3">
      <c r="B308" s="58" t="s">
        <v>92</v>
      </c>
      <c r="C308" s="68"/>
      <c r="D308" s="64"/>
      <c r="E308" s="32">
        <v>5</v>
      </c>
      <c r="F308" s="8">
        <v>1</v>
      </c>
      <c r="I308" s="8"/>
      <c r="L308" s="4">
        <v>1</v>
      </c>
      <c r="M308" s="8"/>
      <c r="O308" s="8"/>
      <c r="P308" s="22"/>
      <c r="R308" s="22"/>
    </row>
    <row r="309" spans="2:18" ht="53.4" customHeight="1" x14ac:dyDescent="0.25">
      <c r="B309" s="56" t="s">
        <v>92</v>
      </c>
      <c r="C309" s="66" t="s">
        <v>57</v>
      </c>
      <c r="D309" s="63" t="s">
        <v>116</v>
      </c>
      <c r="E309" s="31">
        <v>1</v>
      </c>
      <c r="F309" s="7">
        <v>1</v>
      </c>
      <c r="L309" s="3">
        <v>1</v>
      </c>
      <c r="M309" s="7">
        <f>MAX(COUNT(I309:I313)+COUNT(K309:K313),COUNT(J309:J313)+COUNT(L309:L313))</f>
        <v>5</v>
      </c>
      <c r="N309" s="3">
        <f>M309/5</f>
        <v>1</v>
      </c>
      <c r="O309" s="7">
        <f>SUM(I309:I313,K309:K313)</f>
        <v>0</v>
      </c>
      <c r="P309" s="18">
        <f>O309/5</f>
        <v>0</v>
      </c>
    </row>
    <row r="310" spans="2:18" x14ac:dyDescent="0.25">
      <c r="B310" s="57" t="s">
        <v>92</v>
      </c>
      <c r="C310" s="67"/>
      <c r="D310" s="63"/>
      <c r="E310" s="31">
        <v>2</v>
      </c>
      <c r="F310" s="7">
        <v>1</v>
      </c>
      <c r="L310" s="3">
        <v>1</v>
      </c>
    </row>
    <row r="311" spans="2:18" x14ac:dyDescent="0.25">
      <c r="B311" s="57" t="s">
        <v>92</v>
      </c>
      <c r="C311" s="67"/>
      <c r="D311" s="63"/>
      <c r="E311" s="31">
        <v>3</v>
      </c>
      <c r="F311" s="7">
        <v>1</v>
      </c>
      <c r="L311" s="3">
        <v>1</v>
      </c>
    </row>
    <row r="312" spans="2:18" x14ac:dyDescent="0.25">
      <c r="B312" s="57" t="s">
        <v>92</v>
      </c>
      <c r="C312" s="67"/>
      <c r="D312" s="63"/>
      <c r="E312" s="31">
        <v>4</v>
      </c>
      <c r="F312" s="7">
        <v>1</v>
      </c>
      <c r="L312" s="3">
        <v>1</v>
      </c>
    </row>
    <row r="313" spans="2:18" s="4" customFormat="1" ht="13.8" thickBot="1" x14ac:dyDescent="0.3">
      <c r="B313" s="58" t="s">
        <v>92</v>
      </c>
      <c r="C313" s="68"/>
      <c r="D313" s="64"/>
      <c r="E313" s="32">
        <v>5</v>
      </c>
      <c r="F313" s="8">
        <v>1</v>
      </c>
      <c r="I313" s="8"/>
      <c r="L313" s="4">
        <v>1</v>
      </c>
      <c r="M313" s="8"/>
      <c r="O313" s="8"/>
      <c r="P313" s="22"/>
      <c r="R313" s="22"/>
    </row>
    <row r="314" spans="2:18" ht="53.4" customHeight="1" x14ac:dyDescent="0.25">
      <c r="B314" s="56" t="s">
        <v>92</v>
      </c>
      <c r="C314" s="66" t="s">
        <v>58</v>
      </c>
      <c r="D314" s="63" t="s">
        <v>116</v>
      </c>
      <c r="E314" s="31">
        <v>1</v>
      </c>
      <c r="F314" s="7">
        <v>1</v>
      </c>
      <c r="L314" s="3">
        <v>1</v>
      </c>
      <c r="M314" s="7">
        <f>MAX(COUNT(I314:I318)+COUNT(K314:K318),COUNT(J314:J318)+COUNT(L314:L318))</f>
        <v>5</v>
      </c>
      <c r="N314" s="3">
        <f>M314/5</f>
        <v>1</v>
      </c>
      <c r="O314" s="7">
        <f>SUM(I314:I318,K314:K318)</f>
        <v>0</v>
      </c>
      <c r="P314" s="18">
        <f>O314/5</f>
        <v>0</v>
      </c>
    </row>
    <row r="315" spans="2:18" x14ac:dyDescent="0.25">
      <c r="B315" s="57" t="s">
        <v>92</v>
      </c>
      <c r="C315" s="67"/>
      <c r="D315" s="63"/>
      <c r="E315" s="31">
        <v>2</v>
      </c>
      <c r="F315" s="7">
        <v>1</v>
      </c>
      <c r="L315" s="3">
        <v>1</v>
      </c>
    </row>
    <row r="316" spans="2:18" x14ac:dyDescent="0.25">
      <c r="B316" s="57" t="s">
        <v>92</v>
      </c>
      <c r="C316" s="67"/>
      <c r="D316" s="63"/>
      <c r="E316" s="31">
        <v>3</v>
      </c>
      <c r="F316" s="7">
        <v>1</v>
      </c>
      <c r="L316" s="3">
        <v>1</v>
      </c>
    </row>
    <row r="317" spans="2:18" x14ac:dyDescent="0.25">
      <c r="B317" s="57" t="s">
        <v>92</v>
      </c>
      <c r="C317" s="67"/>
      <c r="D317" s="63"/>
      <c r="E317" s="31">
        <v>4</v>
      </c>
      <c r="F317" s="7">
        <v>1</v>
      </c>
      <c r="L317" s="3">
        <v>1</v>
      </c>
    </row>
    <row r="318" spans="2:18" s="4" customFormat="1" ht="13.8" thickBot="1" x14ac:dyDescent="0.3">
      <c r="B318" s="58" t="s">
        <v>92</v>
      </c>
      <c r="C318" s="68"/>
      <c r="D318" s="64"/>
      <c r="E318" s="32">
        <v>5</v>
      </c>
      <c r="F318" s="8">
        <v>1</v>
      </c>
      <c r="I318" s="8"/>
      <c r="L318" s="4">
        <v>1</v>
      </c>
      <c r="M318" s="8"/>
      <c r="O318" s="8"/>
      <c r="P318" s="22"/>
      <c r="R318" s="22"/>
    </row>
    <row r="319" spans="2:18" ht="53.4" customHeight="1" x14ac:dyDescent="0.25">
      <c r="B319" s="56" t="s">
        <v>92</v>
      </c>
      <c r="C319" s="66" t="s">
        <v>59</v>
      </c>
      <c r="D319" s="63" t="s">
        <v>116</v>
      </c>
      <c r="E319" s="31">
        <v>1</v>
      </c>
      <c r="F319" s="7">
        <v>1</v>
      </c>
      <c r="L319" s="3">
        <v>1</v>
      </c>
      <c r="M319" s="7">
        <f>MAX(COUNT(I319:I323)+COUNT(K319:K323),COUNT(J319:J323)+COUNT(L319:L323))</f>
        <v>5</v>
      </c>
      <c r="N319" s="3">
        <f>M319/5</f>
        <v>1</v>
      </c>
      <c r="O319" s="7">
        <f>SUM(I319:I323,K319:K323)</f>
        <v>0</v>
      </c>
      <c r="P319" s="18">
        <f>O319/5</f>
        <v>0</v>
      </c>
    </row>
    <row r="320" spans="2:18" x14ac:dyDescent="0.25">
      <c r="B320" s="57" t="s">
        <v>92</v>
      </c>
      <c r="C320" s="67"/>
      <c r="D320" s="63"/>
      <c r="E320" s="31">
        <v>2</v>
      </c>
      <c r="F320" s="7">
        <v>1</v>
      </c>
      <c r="L320" s="3">
        <v>1</v>
      </c>
    </row>
    <row r="321" spans="2:18" x14ac:dyDescent="0.25">
      <c r="B321" s="57" t="s">
        <v>92</v>
      </c>
      <c r="C321" s="67"/>
      <c r="D321" s="63"/>
      <c r="E321" s="31">
        <v>3</v>
      </c>
      <c r="F321" s="7">
        <v>1</v>
      </c>
      <c r="L321" s="3">
        <v>1</v>
      </c>
    </row>
    <row r="322" spans="2:18" x14ac:dyDescent="0.25">
      <c r="B322" s="57" t="s">
        <v>92</v>
      </c>
      <c r="C322" s="67"/>
      <c r="D322" s="63"/>
      <c r="E322" s="31">
        <v>4</v>
      </c>
      <c r="F322" s="7">
        <v>1</v>
      </c>
      <c r="L322" s="3">
        <v>1</v>
      </c>
    </row>
    <row r="323" spans="2:18" s="4" customFormat="1" ht="13.8" thickBot="1" x14ac:dyDescent="0.3">
      <c r="B323" s="58" t="s">
        <v>92</v>
      </c>
      <c r="C323" s="68"/>
      <c r="D323" s="64"/>
      <c r="E323" s="32">
        <v>5</v>
      </c>
      <c r="F323" s="8">
        <v>1</v>
      </c>
      <c r="I323" s="8"/>
      <c r="L323" s="4">
        <v>1</v>
      </c>
      <c r="M323" s="8"/>
      <c r="O323" s="8"/>
      <c r="P323" s="22"/>
      <c r="R323" s="22"/>
    </row>
    <row r="324" spans="2:18" ht="40.200000000000003" customHeight="1" x14ac:dyDescent="0.25">
      <c r="B324" s="56" t="s">
        <v>93</v>
      </c>
      <c r="C324" s="66" t="s">
        <v>60</v>
      </c>
      <c r="D324" s="63" t="s">
        <v>116</v>
      </c>
      <c r="E324" s="31">
        <v>1</v>
      </c>
      <c r="F324" s="7">
        <v>1</v>
      </c>
      <c r="L324" s="3">
        <v>1</v>
      </c>
      <c r="M324" s="7">
        <f>MAX(COUNT(I324:I328)+COUNT(K324:K328),COUNT(J324:J328)+COUNT(L324:L328))</f>
        <v>5</v>
      </c>
      <c r="N324" s="3">
        <f>M324/5</f>
        <v>1</v>
      </c>
      <c r="O324" s="7">
        <f>SUM(I324:I328,K324:K328)</f>
        <v>0</v>
      </c>
      <c r="P324" s="18">
        <f>O324/5</f>
        <v>0</v>
      </c>
    </row>
    <row r="325" spans="2:18" x14ac:dyDescent="0.25">
      <c r="B325" s="57" t="s">
        <v>93</v>
      </c>
      <c r="C325" s="67"/>
      <c r="D325" s="63"/>
      <c r="E325" s="31">
        <v>2</v>
      </c>
      <c r="F325" s="7">
        <v>1</v>
      </c>
      <c r="L325" s="3">
        <v>1</v>
      </c>
    </row>
    <row r="326" spans="2:18" x14ac:dyDescent="0.25">
      <c r="B326" s="57" t="s">
        <v>93</v>
      </c>
      <c r="C326" s="67"/>
      <c r="D326" s="63"/>
      <c r="E326" s="31">
        <v>3</v>
      </c>
      <c r="F326" s="7">
        <v>1</v>
      </c>
      <c r="L326" s="3">
        <v>1</v>
      </c>
    </row>
    <row r="327" spans="2:18" x14ac:dyDescent="0.25">
      <c r="B327" s="57" t="s">
        <v>93</v>
      </c>
      <c r="C327" s="67"/>
      <c r="D327" s="63"/>
      <c r="E327" s="31">
        <v>4</v>
      </c>
      <c r="F327" s="7">
        <v>1</v>
      </c>
      <c r="L327" s="3">
        <v>1</v>
      </c>
    </row>
    <row r="328" spans="2:18" s="4" customFormat="1" ht="13.8" thickBot="1" x14ac:dyDescent="0.3">
      <c r="B328" s="58" t="s">
        <v>93</v>
      </c>
      <c r="C328" s="68"/>
      <c r="D328" s="64"/>
      <c r="E328" s="32">
        <v>5</v>
      </c>
      <c r="F328" s="8">
        <v>1</v>
      </c>
      <c r="I328" s="8"/>
      <c r="L328" s="4">
        <v>1</v>
      </c>
      <c r="M328" s="8"/>
      <c r="O328" s="8"/>
      <c r="P328" s="22"/>
      <c r="R328" s="22"/>
    </row>
    <row r="329" spans="2:18" ht="53.4" customHeight="1" x14ac:dyDescent="0.25">
      <c r="B329" s="56" t="s">
        <v>93</v>
      </c>
      <c r="C329" s="66" t="s">
        <v>61</v>
      </c>
      <c r="D329" s="63" t="s">
        <v>116</v>
      </c>
      <c r="E329" s="31">
        <v>1</v>
      </c>
      <c r="F329" s="7">
        <v>1</v>
      </c>
      <c r="L329" s="3">
        <v>1</v>
      </c>
      <c r="M329" s="7">
        <f>MAX(COUNT(I329:I333)+COUNT(K329:K333),COUNT(J329:J333)+COUNT(L329:L333))</f>
        <v>5</v>
      </c>
      <c r="N329" s="3">
        <f>M329/5</f>
        <v>1</v>
      </c>
    </row>
    <row r="330" spans="2:18" x14ac:dyDescent="0.25">
      <c r="B330" s="57" t="s">
        <v>93</v>
      </c>
      <c r="C330" s="67"/>
      <c r="D330" s="63"/>
      <c r="E330" s="31">
        <v>2</v>
      </c>
      <c r="F330" s="7">
        <v>1</v>
      </c>
      <c r="L330" s="3">
        <v>1</v>
      </c>
      <c r="O330" s="7">
        <f>SUM(I330:I334,K330:K334)</f>
        <v>0</v>
      </c>
      <c r="P330" s="18">
        <f>O330/5</f>
        <v>0</v>
      </c>
    </row>
    <row r="331" spans="2:18" x14ac:dyDescent="0.25">
      <c r="B331" s="57" t="s">
        <v>93</v>
      </c>
      <c r="C331" s="67"/>
      <c r="D331" s="63"/>
      <c r="E331" s="31">
        <v>3</v>
      </c>
      <c r="F331" s="7">
        <v>1</v>
      </c>
      <c r="L331" s="3">
        <v>1</v>
      </c>
    </row>
    <row r="332" spans="2:18" x14ac:dyDescent="0.25">
      <c r="B332" s="57" t="s">
        <v>93</v>
      </c>
      <c r="C332" s="67"/>
      <c r="D332" s="63"/>
      <c r="E332" s="31">
        <v>4</v>
      </c>
      <c r="F332" s="7">
        <v>1</v>
      </c>
      <c r="L332" s="3">
        <v>1</v>
      </c>
    </row>
    <row r="333" spans="2:18" s="4" customFormat="1" ht="13.8" thickBot="1" x14ac:dyDescent="0.3">
      <c r="B333" s="58" t="s">
        <v>93</v>
      </c>
      <c r="C333" s="68"/>
      <c r="D333" s="64"/>
      <c r="E333" s="32">
        <v>5</v>
      </c>
      <c r="F333" s="8">
        <v>1</v>
      </c>
      <c r="I333" s="8"/>
      <c r="L333" s="4">
        <v>1</v>
      </c>
      <c r="M333" s="8"/>
      <c r="O333" s="8"/>
      <c r="P333" s="22"/>
      <c r="R333" s="22"/>
    </row>
    <row r="334" spans="2:18" ht="79.8" customHeight="1" x14ac:dyDescent="0.25">
      <c r="B334" s="56" t="s">
        <v>93</v>
      </c>
      <c r="C334" s="66" t="s">
        <v>62</v>
      </c>
      <c r="D334" s="63" t="s">
        <v>116</v>
      </c>
      <c r="E334" s="31">
        <v>1</v>
      </c>
      <c r="F334" s="7">
        <v>1</v>
      </c>
      <c r="L334" s="3">
        <v>1</v>
      </c>
      <c r="M334" s="7">
        <f>MAX(COUNT(I334:I338)+COUNT(K334:K338),COUNT(J334:J338)+COUNT(L334:L338))</f>
        <v>5</v>
      </c>
      <c r="N334" s="3">
        <f>M334/5</f>
        <v>1</v>
      </c>
      <c r="O334" s="7">
        <f>SUM(I334:I338,K334:K338)</f>
        <v>0</v>
      </c>
      <c r="P334" s="18">
        <f>O334/5</f>
        <v>0</v>
      </c>
    </row>
    <row r="335" spans="2:18" x14ac:dyDescent="0.25">
      <c r="B335" s="57" t="s">
        <v>93</v>
      </c>
      <c r="C335" s="67"/>
      <c r="D335" s="63"/>
      <c r="E335" s="31">
        <v>2</v>
      </c>
      <c r="F335" s="7">
        <v>1</v>
      </c>
      <c r="L335" s="3">
        <v>1</v>
      </c>
    </row>
    <row r="336" spans="2:18" x14ac:dyDescent="0.25">
      <c r="B336" s="57" t="s">
        <v>93</v>
      </c>
      <c r="C336" s="67"/>
      <c r="D336" s="63"/>
      <c r="E336" s="31">
        <v>3</v>
      </c>
      <c r="F336" s="7">
        <v>1</v>
      </c>
      <c r="L336" s="3">
        <v>1</v>
      </c>
    </row>
    <row r="337" spans="2:18" x14ac:dyDescent="0.25">
      <c r="B337" s="57" t="s">
        <v>93</v>
      </c>
      <c r="C337" s="67"/>
      <c r="D337" s="63"/>
      <c r="E337" s="31">
        <v>4</v>
      </c>
      <c r="F337" s="7">
        <v>1</v>
      </c>
      <c r="L337" s="3">
        <v>1</v>
      </c>
    </row>
    <row r="338" spans="2:18" s="4" customFormat="1" ht="13.8" thickBot="1" x14ac:dyDescent="0.3">
      <c r="B338" s="58" t="s">
        <v>93</v>
      </c>
      <c r="C338" s="68"/>
      <c r="D338" s="64"/>
      <c r="E338" s="32">
        <v>5</v>
      </c>
      <c r="F338" s="8">
        <v>1</v>
      </c>
      <c r="I338" s="8"/>
      <c r="L338" s="4">
        <v>1</v>
      </c>
      <c r="M338" s="8"/>
      <c r="O338" s="8"/>
      <c r="P338" s="22"/>
      <c r="R338" s="22"/>
    </row>
    <row r="339" spans="2:18" ht="79.8" customHeight="1" x14ac:dyDescent="0.25">
      <c r="B339" s="56" t="s">
        <v>93</v>
      </c>
      <c r="C339" s="66" t="s">
        <v>63</v>
      </c>
      <c r="D339" s="63" t="s">
        <v>116</v>
      </c>
      <c r="E339" s="31">
        <v>1</v>
      </c>
      <c r="F339" s="7">
        <v>1</v>
      </c>
      <c r="L339" s="3">
        <v>1</v>
      </c>
      <c r="M339" s="7">
        <f>MAX(COUNT(I339:I343)+COUNT(K339:K343),COUNT(J339:J343)+COUNT(L339:L343))</f>
        <v>5</v>
      </c>
      <c r="N339" s="3">
        <f>M339/5</f>
        <v>1</v>
      </c>
      <c r="O339" s="7">
        <f>SUM(I339:I343,K339:K343)</f>
        <v>0</v>
      </c>
      <c r="P339" s="18">
        <f>O339/5</f>
        <v>0</v>
      </c>
    </row>
    <row r="340" spans="2:18" x14ac:dyDescent="0.25">
      <c r="B340" s="57" t="s">
        <v>93</v>
      </c>
      <c r="C340" s="67"/>
      <c r="D340" s="63"/>
      <c r="E340" s="31">
        <v>2</v>
      </c>
      <c r="F340" s="7">
        <v>1</v>
      </c>
      <c r="L340" s="3">
        <v>1</v>
      </c>
    </row>
    <row r="341" spans="2:18" x14ac:dyDescent="0.25">
      <c r="B341" s="57" t="s">
        <v>93</v>
      </c>
      <c r="C341" s="67"/>
      <c r="D341" s="63"/>
      <c r="E341" s="31">
        <v>3</v>
      </c>
      <c r="F341" s="7">
        <v>1</v>
      </c>
      <c r="L341" s="3">
        <v>1</v>
      </c>
    </row>
    <row r="342" spans="2:18" x14ac:dyDescent="0.25">
      <c r="B342" s="57" t="s">
        <v>93</v>
      </c>
      <c r="C342" s="67"/>
      <c r="D342" s="63"/>
      <c r="E342" s="31">
        <v>4</v>
      </c>
      <c r="F342" s="7">
        <v>1</v>
      </c>
      <c r="L342" s="3">
        <v>1</v>
      </c>
    </row>
    <row r="343" spans="2:18" s="4" customFormat="1" ht="13.8" thickBot="1" x14ac:dyDescent="0.3">
      <c r="B343" s="58" t="s">
        <v>93</v>
      </c>
      <c r="C343" s="68"/>
      <c r="D343" s="64"/>
      <c r="E343" s="32">
        <v>5</v>
      </c>
      <c r="F343" s="8">
        <v>1</v>
      </c>
      <c r="I343" s="8"/>
      <c r="L343" s="4">
        <v>1</v>
      </c>
      <c r="M343" s="8"/>
      <c r="O343" s="8"/>
      <c r="P343" s="22"/>
      <c r="R343" s="22"/>
    </row>
    <row r="344" spans="2:18" ht="93" customHeight="1" x14ac:dyDescent="0.25">
      <c r="B344" s="56" t="s">
        <v>93</v>
      </c>
      <c r="C344" s="66" t="s">
        <v>64</v>
      </c>
      <c r="D344" s="63" t="s">
        <v>116</v>
      </c>
      <c r="E344" s="31">
        <v>1</v>
      </c>
      <c r="F344" s="7">
        <v>1</v>
      </c>
      <c r="L344" s="3">
        <v>1</v>
      </c>
      <c r="M344" s="7">
        <f>MAX(COUNT(I344:I348)+COUNT(K344:K348),COUNT(J344:J348)+COUNT(L344:L348))</f>
        <v>5</v>
      </c>
      <c r="N344" s="3">
        <f>M344/5</f>
        <v>1</v>
      </c>
      <c r="O344" s="7">
        <f>SUM(I344:I348,K344:K348)</f>
        <v>0</v>
      </c>
      <c r="P344" s="18">
        <f>O344/5</f>
        <v>0</v>
      </c>
    </row>
    <row r="345" spans="2:18" x14ac:dyDescent="0.25">
      <c r="B345" s="57" t="s">
        <v>93</v>
      </c>
      <c r="C345" s="67"/>
      <c r="D345" s="63"/>
      <c r="E345" s="31">
        <v>2</v>
      </c>
      <c r="F345" s="7">
        <v>1</v>
      </c>
      <c r="L345" s="3">
        <v>1</v>
      </c>
    </row>
    <row r="346" spans="2:18" x14ac:dyDescent="0.25">
      <c r="B346" s="57" t="s">
        <v>93</v>
      </c>
      <c r="C346" s="67"/>
      <c r="D346" s="63"/>
      <c r="E346" s="31">
        <v>3</v>
      </c>
      <c r="F346" s="7">
        <v>1</v>
      </c>
      <c r="L346" s="3">
        <v>1</v>
      </c>
    </row>
    <row r="347" spans="2:18" x14ac:dyDescent="0.25">
      <c r="B347" s="57" t="s">
        <v>93</v>
      </c>
      <c r="C347" s="67"/>
      <c r="D347" s="63"/>
      <c r="E347" s="31">
        <v>4</v>
      </c>
      <c r="F347" s="7">
        <v>1</v>
      </c>
      <c r="L347" s="3">
        <v>1</v>
      </c>
    </row>
    <row r="348" spans="2:18" s="4" customFormat="1" ht="13.8" thickBot="1" x14ac:dyDescent="0.3">
      <c r="B348" s="58" t="s">
        <v>93</v>
      </c>
      <c r="C348" s="68"/>
      <c r="D348" s="64"/>
      <c r="E348" s="32">
        <v>5</v>
      </c>
      <c r="F348" s="8">
        <v>1</v>
      </c>
      <c r="I348" s="8"/>
      <c r="L348" s="4">
        <v>1</v>
      </c>
      <c r="M348" s="8"/>
      <c r="O348" s="8"/>
      <c r="P348" s="22"/>
      <c r="R348" s="22"/>
    </row>
    <row r="349" spans="2:18" ht="27" customHeight="1" x14ac:dyDescent="0.25">
      <c r="B349" s="56" t="s">
        <v>93</v>
      </c>
      <c r="C349" s="66" t="s">
        <v>65</v>
      </c>
      <c r="D349" s="63" t="s">
        <v>116</v>
      </c>
      <c r="E349" s="31">
        <v>1</v>
      </c>
      <c r="F349" s="7">
        <v>1</v>
      </c>
      <c r="I349" s="7">
        <v>1</v>
      </c>
      <c r="M349" s="7">
        <f>MAX(COUNT(I349:I353)+COUNT(K349:K353),COUNT(J349:J353)+COUNT(L349:L353))</f>
        <v>5</v>
      </c>
      <c r="N349" s="3">
        <f>M349/5</f>
        <v>1</v>
      </c>
      <c r="O349" s="7">
        <f>SUM(I349:I353,K349:K353)</f>
        <v>5</v>
      </c>
      <c r="P349" s="18">
        <f>O349/5</f>
        <v>1</v>
      </c>
    </row>
    <row r="350" spans="2:18" x14ac:dyDescent="0.25">
      <c r="B350" s="57" t="s">
        <v>93</v>
      </c>
      <c r="C350" s="67"/>
      <c r="D350" s="63"/>
      <c r="E350" s="31">
        <v>2</v>
      </c>
      <c r="F350" s="7">
        <v>1</v>
      </c>
      <c r="I350" s="7">
        <v>1</v>
      </c>
    </row>
    <row r="351" spans="2:18" x14ac:dyDescent="0.25">
      <c r="B351" s="57" t="s">
        <v>93</v>
      </c>
      <c r="C351" s="67"/>
      <c r="D351" s="63"/>
      <c r="E351" s="31">
        <v>3</v>
      </c>
      <c r="F351" s="7">
        <v>1</v>
      </c>
      <c r="I351" s="7">
        <v>1</v>
      </c>
    </row>
    <row r="352" spans="2:18" x14ac:dyDescent="0.25">
      <c r="B352" s="57" t="s">
        <v>93</v>
      </c>
      <c r="C352" s="67"/>
      <c r="D352" s="63"/>
      <c r="E352" s="31">
        <v>4</v>
      </c>
      <c r="F352" s="7">
        <v>1</v>
      </c>
      <c r="I352" s="7">
        <v>1</v>
      </c>
    </row>
    <row r="353" spans="2:18" s="4" customFormat="1" ht="13.8" thickBot="1" x14ac:dyDescent="0.3">
      <c r="B353" s="58" t="s">
        <v>93</v>
      </c>
      <c r="C353" s="68"/>
      <c r="D353" s="64"/>
      <c r="E353" s="32">
        <v>5</v>
      </c>
      <c r="F353" s="8">
        <v>1</v>
      </c>
      <c r="I353" s="8">
        <v>1</v>
      </c>
      <c r="M353" s="8"/>
      <c r="O353" s="8"/>
      <c r="P353" s="22"/>
      <c r="R353" s="22"/>
    </row>
    <row r="354" spans="2:18" ht="27" customHeight="1" x14ac:dyDescent="0.25">
      <c r="B354" s="56" t="s">
        <v>93</v>
      </c>
      <c r="C354" s="66" t="s">
        <v>66</v>
      </c>
      <c r="D354" s="63" t="s">
        <v>116</v>
      </c>
      <c r="E354" s="31">
        <v>1</v>
      </c>
      <c r="F354" s="7">
        <v>1</v>
      </c>
      <c r="L354" s="3">
        <v>1</v>
      </c>
      <c r="M354" s="7">
        <f>MAX(COUNT(I354:I358)+COUNT(K354:K358),COUNT(J354:J358)+COUNT(L354:L358))</f>
        <v>5</v>
      </c>
      <c r="N354" s="3">
        <f>M354/5</f>
        <v>1</v>
      </c>
      <c r="O354" s="7">
        <f>SUM(I354:I358,K354:K358)</f>
        <v>0</v>
      </c>
      <c r="P354" s="18">
        <f>O354/5</f>
        <v>0</v>
      </c>
    </row>
    <row r="355" spans="2:18" x14ac:dyDescent="0.25">
      <c r="B355" s="57" t="s">
        <v>93</v>
      </c>
      <c r="C355" s="67"/>
      <c r="D355" s="63"/>
      <c r="E355" s="31">
        <v>2</v>
      </c>
      <c r="F355" s="7">
        <v>1</v>
      </c>
      <c r="L355" s="3">
        <v>1</v>
      </c>
    </row>
    <row r="356" spans="2:18" x14ac:dyDescent="0.25">
      <c r="B356" s="57" t="s">
        <v>93</v>
      </c>
      <c r="C356" s="67"/>
      <c r="D356" s="63"/>
      <c r="E356" s="31">
        <v>3</v>
      </c>
      <c r="F356" s="7">
        <v>1</v>
      </c>
      <c r="L356" s="3">
        <v>1</v>
      </c>
    </row>
    <row r="357" spans="2:18" x14ac:dyDescent="0.25">
      <c r="B357" s="57" t="s">
        <v>93</v>
      </c>
      <c r="C357" s="67"/>
      <c r="D357" s="63"/>
      <c r="E357" s="31">
        <v>4</v>
      </c>
      <c r="F357" s="7">
        <v>1</v>
      </c>
      <c r="L357" s="3">
        <v>1</v>
      </c>
    </row>
    <row r="358" spans="2:18" s="4" customFormat="1" ht="13.8" thickBot="1" x14ac:dyDescent="0.3">
      <c r="B358" s="58" t="s">
        <v>93</v>
      </c>
      <c r="C358" s="68"/>
      <c r="D358" s="64"/>
      <c r="E358" s="32">
        <v>5</v>
      </c>
      <c r="F358" s="8">
        <v>1</v>
      </c>
      <c r="I358" s="8"/>
      <c r="L358" s="4">
        <v>1</v>
      </c>
      <c r="M358" s="8"/>
      <c r="O358" s="8"/>
      <c r="P358" s="22"/>
      <c r="R358" s="22"/>
    </row>
    <row r="359" spans="2:18" ht="79.8" customHeight="1" x14ac:dyDescent="0.25">
      <c r="B359" s="56" t="s">
        <v>93</v>
      </c>
      <c r="C359" s="66" t="s">
        <v>67</v>
      </c>
      <c r="D359" s="63" t="s">
        <v>116</v>
      </c>
      <c r="E359" s="31">
        <v>1</v>
      </c>
      <c r="F359" s="7">
        <v>1</v>
      </c>
      <c r="I359" s="7">
        <v>1</v>
      </c>
      <c r="M359" s="7">
        <f>MAX(COUNT(I359:I363)+COUNT(K359:K363),COUNT(J359:J363)+COUNT(L359:L363))</f>
        <v>5</v>
      </c>
      <c r="N359" s="3">
        <f>M359/5</f>
        <v>1</v>
      </c>
      <c r="O359" s="7">
        <f>SUM(I359:I363,K359:K363)</f>
        <v>5</v>
      </c>
      <c r="P359" s="18">
        <f>O359/5</f>
        <v>1</v>
      </c>
    </row>
    <row r="360" spans="2:18" x14ac:dyDescent="0.25">
      <c r="B360" s="57" t="s">
        <v>93</v>
      </c>
      <c r="C360" s="67"/>
      <c r="D360" s="63"/>
      <c r="E360" s="31">
        <v>2</v>
      </c>
      <c r="F360" s="7">
        <v>1</v>
      </c>
      <c r="I360" s="7">
        <v>1</v>
      </c>
    </row>
    <row r="361" spans="2:18" x14ac:dyDescent="0.25">
      <c r="B361" s="57" t="s">
        <v>93</v>
      </c>
      <c r="C361" s="67"/>
      <c r="D361" s="63"/>
      <c r="E361" s="31">
        <v>3</v>
      </c>
      <c r="F361" s="7">
        <v>1</v>
      </c>
      <c r="I361" s="7">
        <v>1</v>
      </c>
    </row>
    <row r="362" spans="2:18" x14ac:dyDescent="0.25">
      <c r="B362" s="57" t="s">
        <v>93</v>
      </c>
      <c r="C362" s="67"/>
      <c r="D362" s="63"/>
      <c r="E362" s="31">
        <v>4</v>
      </c>
      <c r="F362" s="7">
        <v>1</v>
      </c>
      <c r="I362" s="7">
        <v>1</v>
      </c>
    </row>
    <row r="363" spans="2:18" s="4" customFormat="1" ht="13.8" thickBot="1" x14ac:dyDescent="0.3">
      <c r="B363" s="58" t="s">
        <v>93</v>
      </c>
      <c r="C363" s="68"/>
      <c r="D363" s="64"/>
      <c r="E363" s="32">
        <v>5</v>
      </c>
      <c r="F363" s="8">
        <v>1</v>
      </c>
      <c r="I363" s="8">
        <v>1</v>
      </c>
      <c r="M363" s="8"/>
      <c r="O363" s="8"/>
      <c r="P363" s="22"/>
      <c r="R363" s="22"/>
    </row>
    <row r="364" spans="2:18" ht="79.8" customHeight="1" x14ac:dyDescent="0.25">
      <c r="B364" s="56" t="s">
        <v>93</v>
      </c>
      <c r="C364" s="66" t="s">
        <v>68</v>
      </c>
      <c r="D364" s="63" t="s">
        <v>116</v>
      </c>
      <c r="E364" s="31">
        <v>1</v>
      </c>
      <c r="F364" s="7">
        <v>1</v>
      </c>
      <c r="I364" s="7">
        <v>1</v>
      </c>
      <c r="M364" s="7">
        <v>5</v>
      </c>
      <c r="N364" s="3">
        <f>M364/5</f>
        <v>1</v>
      </c>
      <c r="O364" s="7">
        <f>SUM(I364:I368,K364:K368)</f>
        <v>4</v>
      </c>
      <c r="P364" s="18">
        <f>O364/5</f>
        <v>0.8</v>
      </c>
    </row>
    <row r="365" spans="2:18" x14ac:dyDescent="0.25">
      <c r="B365" s="57" t="s">
        <v>93</v>
      </c>
      <c r="C365" s="67"/>
      <c r="D365" s="63"/>
      <c r="E365" s="31">
        <v>2</v>
      </c>
      <c r="F365" s="7">
        <v>1</v>
      </c>
      <c r="L365" s="3">
        <v>1</v>
      </c>
    </row>
    <row r="366" spans="2:18" x14ac:dyDescent="0.25">
      <c r="B366" s="57" t="s">
        <v>93</v>
      </c>
      <c r="C366" s="67"/>
      <c r="D366" s="63"/>
      <c r="E366" s="31">
        <v>3</v>
      </c>
      <c r="F366" s="7">
        <v>1</v>
      </c>
      <c r="I366" s="7">
        <v>1</v>
      </c>
    </row>
    <row r="367" spans="2:18" x14ac:dyDescent="0.25">
      <c r="B367" s="57" t="s">
        <v>93</v>
      </c>
      <c r="C367" s="67"/>
      <c r="D367" s="63"/>
      <c r="E367" s="31">
        <v>4</v>
      </c>
      <c r="F367" s="7">
        <v>1</v>
      </c>
      <c r="I367" s="7">
        <v>1</v>
      </c>
    </row>
    <row r="368" spans="2:18" s="4" customFormat="1" ht="13.8" thickBot="1" x14ac:dyDescent="0.3">
      <c r="B368" s="58" t="s">
        <v>93</v>
      </c>
      <c r="C368" s="68"/>
      <c r="D368" s="64"/>
      <c r="E368" s="32">
        <v>5</v>
      </c>
      <c r="F368" s="8">
        <v>1</v>
      </c>
      <c r="I368" s="8">
        <v>1</v>
      </c>
      <c r="M368" s="8"/>
      <c r="O368" s="8"/>
      <c r="P368" s="22"/>
      <c r="R368" s="22"/>
    </row>
    <row r="369" spans="2:18" ht="106.2" customHeight="1" x14ac:dyDescent="0.25">
      <c r="B369" s="56" t="s">
        <v>93</v>
      </c>
      <c r="C369" s="66" t="s">
        <v>69</v>
      </c>
      <c r="D369" s="63" t="s">
        <v>116</v>
      </c>
      <c r="E369" s="31">
        <v>1</v>
      </c>
      <c r="F369" s="7">
        <v>1</v>
      </c>
      <c r="I369" s="7">
        <v>1</v>
      </c>
      <c r="M369" s="7">
        <f>MAX(COUNT(I369:I373)+COUNT(K369:K373),COUNT(J369:J373)+COUNT(L369:L373))</f>
        <v>3</v>
      </c>
      <c r="N369" s="3">
        <f>M369/5</f>
        <v>0.6</v>
      </c>
      <c r="O369" s="7">
        <f>SUM(I369:I373,K369:K373)</f>
        <v>3</v>
      </c>
      <c r="P369" s="18">
        <f>O369/5</f>
        <v>0.6</v>
      </c>
    </row>
    <row r="370" spans="2:18" x14ac:dyDescent="0.25">
      <c r="B370" s="57" t="s">
        <v>93</v>
      </c>
      <c r="C370" s="67"/>
      <c r="D370" s="63"/>
      <c r="E370" s="31">
        <v>2</v>
      </c>
      <c r="F370" s="7">
        <v>1</v>
      </c>
      <c r="I370" s="7">
        <v>1</v>
      </c>
    </row>
    <row r="371" spans="2:18" x14ac:dyDescent="0.25">
      <c r="B371" s="57" t="s">
        <v>93</v>
      </c>
      <c r="C371" s="67"/>
      <c r="D371" s="63"/>
      <c r="E371" s="31">
        <v>3</v>
      </c>
      <c r="G371" s="3">
        <v>1</v>
      </c>
      <c r="L371" s="3">
        <v>1</v>
      </c>
    </row>
    <row r="372" spans="2:18" x14ac:dyDescent="0.25">
      <c r="B372" s="57" t="s">
        <v>93</v>
      </c>
      <c r="C372" s="67"/>
      <c r="D372" s="63"/>
      <c r="E372" s="31">
        <v>4</v>
      </c>
      <c r="F372" s="7">
        <v>1</v>
      </c>
      <c r="I372" s="7">
        <v>1</v>
      </c>
    </row>
    <row r="373" spans="2:18" s="4" customFormat="1" ht="13.8" thickBot="1" x14ac:dyDescent="0.3">
      <c r="B373" s="58" t="s">
        <v>93</v>
      </c>
      <c r="C373" s="68"/>
      <c r="D373" s="64"/>
      <c r="E373" s="32">
        <v>5</v>
      </c>
      <c r="F373" s="8">
        <v>1</v>
      </c>
      <c r="I373" s="8"/>
      <c r="L373" s="4">
        <v>1</v>
      </c>
      <c r="M373" s="8"/>
      <c r="O373" s="8"/>
      <c r="P373" s="22"/>
      <c r="R373" s="22"/>
    </row>
    <row r="374" spans="2:18" ht="106.2" customHeight="1" x14ac:dyDescent="0.25">
      <c r="B374" s="56" t="s">
        <v>112</v>
      </c>
      <c r="C374" s="66" t="s">
        <v>70</v>
      </c>
      <c r="D374" s="63" t="s">
        <v>116</v>
      </c>
      <c r="E374" s="31">
        <v>1</v>
      </c>
      <c r="F374" s="7">
        <v>1</v>
      </c>
      <c r="L374" s="3">
        <v>1</v>
      </c>
      <c r="M374" s="7">
        <f>MAX(COUNT(I374:I378)+COUNT(K374:K378),COUNT(J374:J378)+COUNT(L374:L378))</f>
        <v>5</v>
      </c>
      <c r="N374" s="3">
        <f>M374/5</f>
        <v>1</v>
      </c>
      <c r="O374" s="7">
        <f>SUM(I374:I378,K374:K378)</f>
        <v>0</v>
      </c>
      <c r="P374" s="18">
        <f>O374/5</f>
        <v>0</v>
      </c>
    </row>
    <row r="375" spans="2:18" ht="26.4" x14ac:dyDescent="0.25">
      <c r="B375" s="57" t="s">
        <v>112</v>
      </c>
      <c r="C375" s="67"/>
      <c r="D375" s="63"/>
      <c r="E375" s="31">
        <v>2</v>
      </c>
      <c r="F375" s="7">
        <v>1</v>
      </c>
      <c r="L375" s="3">
        <v>1</v>
      </c>
    </row>
    <row r="376" spans="2:18" ht="26.4" x14ac:dyDescent="0.25">
      <c r="B376" s="57" t="s">
        <v>112</v>
      </c>
      <c r="C376" s="67"/>
      <c r="D376" s="63"/>
      <c r="E376" s="31">
        <v>3</v>
      </c>
      <c r="F376" s="7">
        <v>1</v>
      </c>
      <c r="L376" s="3">
        <v>1</v>
      </c>
    </row>
    <row r="377" spans="2:18" ht="26.4" x14ac:dyDescent="0.25">
      <c r="B377" s="57" t="s">
        <v>112</v>
      </c>
      <c r="C377" s="67"/>
      <c r="D377" s="63"/>
      <c r="E377" s="31">
        <v>4</v>
      </c>
      <c r="F377" s="7">
        <v>1</v>
      </c>
      <c r="L377" s="3">
        <v>1</v>
      </c>
    </row>
    <row r="378" spans="2:18" s="4" customFormat="1" ht="27" thickBot="1" x14ac:dyDescent="0.3">
      <c r="B378" s="58" t="s">
        <v>112</v>
      </c>
      <c r="C378" s="68"/>
      <c r="D378" s="64"/>
      <c r="E378" s="32">
        <v>5</v>
      </c>
      <c r="F378" s="8">
        <v>1</v>
      </c>
      <c r="I378" s="8"/>
      <c r="L378" s="4">
        <v>1</v>
      </c>
      <c r="M378" s="8"/>
      <c r="O378" s="8"/>
      <c r="P378" s="22"/>
      <c r="R378" s="22"/>
    </row>
    <row r="379" spans="2:18" ht="27" customHeight="1" x14ac:dyDescent="0.25">
      <c r="B379" s="56" t="s">
        <v>112</v>
      </c>
      <c r="C379" s="66" t="s">
        <v>71</v>
      </c>
      <c r="D379" s="63" t="s">
        <v>116</v>
      </c>
      <c r="E379" s="31">
        <v>1</v>
      </c>
      <c r="F379" s="7">
        <v>1</v>
      </c>
      <c r="L379" s="3">
        <v>1</v>
      </c>
      <c r="M379" s="7">
        <f>MAX(COUNT(I379:I383)+COUNT(K379:K383),COUNT(J379:J383)+COUNT(L379:L383))</f>
        <v>5</v>
      </c>
      <c r="N379" s="3">
        <f>M379/5</f>
        <v>1</v>
      </c>
      <c r="O379" s="7">
        <f>SUM(I379:I383,K379:K383)</f>
        <v>0</v>
      </c>
      <c r="P379" s="18">
        <f>O379/5</f>
        <v>0</v>
      </c>
    </row>
    <row r="380" spans="2:18" ht="26.4" x14ac:dyDescent="0.25">
      <c r="B380" s="57" t="s">
        <v>112</v>
      </c>
      <c r="C380" s="67"/>
      <c r="D380" s="63"/>
      <c r="E380" s="31">
        <v>2</v>
      </c>
      <c r="F380" s="7">
        <v>1</v>
      </c>
      <c r="L380" s="3">
        <v>1</v>
      </c>
    </row>
    <row r="381" spans="2:18" ht="26.4" x14ac:dyDescent="0.25">
      <c r="B381" s="57" t="s">
        <v>112</v>
      </c>
      <c r="C381" s="67"/>
      <c r="D381" s="63"/>
      <c r="E381" s="31">
        <v>3</v>
      </c>
      <c r="F381" s="7">
        <v>1</v>
      </c>
      <c r="L381" s="3">
        <v>1</v>
      </c>
    </row>
    <row r="382" spans="2:18" ht="26.4" x14ac:dyDescent="0.25">
      <c r="B382" s="57" t="s">
        <v>112</v>
      </c>
      <c r="C382" s="67"/>
      <c r="D382" s="63"/>
      <c r="E382" s="31">
        <v>4</v>
      </c>
      <c r="F382" s="7">
        <v>1</v>
      </c>
      <c r="L382" s="3">
        <v>1</v>
      </c>
    </row>
    <row r="383" spans="2:18" s="4" customFormat="1" ht="27" thickBot="1" x14ac:dyDescent="0.3">
      <c r="B383" s="58" t="s">
        <v>112</v>
      </c>
      <c r="C383" s="68"/>
      <c r="D383" s="64"/>
      <c r="E383" s="32">
        <v>5</v>
      </c>
      <c r="F383" s="8">
        <v>1</v>
      </c>
      <c r="I383" s="8"/>
      <c r="L383" s="4">
        <v>1</v>
      </c>
      <c r="M383" s="8"/>
      <c r="O383" s="8"/>
      <c r="P383" s="22"/>
      <c r="R383" s="22"/>
    </row>
    <row r="384" spans="2:18" ht="53.4" customHeight="1" x14ac:dyDescent="0.25">
      <c r="B384" s="56" t="s">
        <v>112</v>
      </c>
      <c r="C384" s="66" t="s">
        <v>72</v>
      </c>
      <c r="D384" s="63" t="s">
        <v>116</v>
      </c>
      <c r="E384" s="31">
        <v>1</v>
      </c>
      <c r="F384" s="7">
        <v>1</v>
      </c>
      <c r="K384" s="3">
        <v>1</v>
      </c>
      <c r="M384" s="7">
        <f>MAX(COUNT(I384:I388)+COUNT(K384:K388),COUNT(J384:J388)+COUNT(L384:L388))</f>
        <v>4</v>
      </c>
      <c r="N384" s="3">
        <f>M384/5</f>
        <v>0.8</v>
      </c>
      <c r="O384" s="7">
        <f>SUM(I384:I388,K384:K388)</f>
        <v>4</v>
      </c>
      <c r="P384" s="18">
        <f>O384/5</f>
        <v>0.8</v>
      </c>
    </row>
    <row r="385" spans="2:18" ht="26.4" x14ac:dyDescent="0.25">
      <c r="B385" s="57" t="s">
        <v>112</v>
      </c>
      <c r="C385" s="67"/>
      <c r="D385" s="63"/>
      <c r="E385" s="31">
        <v>2</v>
      </c>
      <c r="F385" s="7">
        <v>1</v>
      </c>
      <c r="L385" s="3">
        <v>1</v>
      </c>
    </row>
    <row r="386" spans="2:18" ht="26.4" x14ac:dyDescent="0.25">
      <c r="B386" s="57" t="s">
        <v>112</v>
      </c>
      <c r="C386" s="67"/>
      <c r="D386" s="63"/>
      <c r="E386" s="31">
        <v>3</v>
      </c>
      <c r="F386" s="7">
        <v>1</v>
      </c>
      <c r="K386" s="3">
        <v>1</v>
      </c>
    </row>
    <row r="387" spans="2:18" ht="26.4" x14ac:dyDescent="0.25">
      <c r="B387" s="57" t="s">
        <v>112</v>
      </c>
      <c r="C387" s="67"/>
      <c r="D387" s="63"/>
      <c r="E387" s="31">
        <v>4</v>
      </c>
      <c r="F387" s="7">
        <v>1</v>
      </c>
      <c r="K387" s="3">
        <v>1</v>
      </c>
    </row>
    <row r="388" spans="2:18" s="4" customFormat="1" ht="27" thickBot="1" x14ac:dyDescent="0.3">
      <c r="B388" s="58" t="s">
        <v>112</v>
      </c>
      <c r="C388" s="68"/>
      <c r="D388" s="64"/>
      <c r="E388" s="32">
        <v>5</v>
      </c>
      <c r="F388" s="8">
        <v>1</v>
      </c>
      <c r="I388" s="8"/>
      <c r="K388" s="4">
        <v>1</v>
      </c>
      <c r="M388" s="8"/>
      <c r="O388" s="8"/>
      <c r="P388" s="22"/>
      <c r="R388" s="22"/>
    </row>
    <row r="389" spans="2:18" ht="53.4" customHeight="1" x14ac:dyDescent="0.25">
      <c r="B389" s="56" t="s">
        <v>112</v>
      </c>
      <c r="C389" s="66" t="s">
        <v>73</v>
      </c>
      <c r="D389" s="63" t="s">
        <v>116</v>
      </c>
      <c r="E389" s="31">
        <v>1</v>
      </c>
      <c r="F389" s="7">
        <v>1</v>
      </c>
      <c r="I389" s="7">
        <v>1</v>
      </c>
      <c r="M389" s="7">
        <f>MAX(COUNT(I389:I393)+COUNT(K389:K393),COUNT(J389:J393)+COUNT(L389:L393))</f>
        <v>5</v>
      </c>
      <c r="N389" s="3">
        <f>M389/5</f>
        <v>1</v>
      </c>
      <c r="O389" s="7">
        <f>SUM(I389:I393,K389:K393)</f>
        <v>5</v>
      </c>
      <c r="P389" s="18">
        <f>O389/5</f>
        <v>1</v>
      </c>
    </row>
    <row r="390" spans="2:18" ht="26.4" x14ac:dyDescent="0.25">
      <c r="B390" s="57" t="s">
        <v>112</v>
      </c>
      <c r="C390" s="67"/>
      <c r="D390" s="63"/>
      <c r="E390" s="31">
        <v>2</v>
      </c>
      <c r="F390" s="7">
        <v>1</v>
      </c>
      <c r="I390" s="7">
        <v>1</v>
      </c>
    </row>
    <row r="391" spans="2:18" ht="26.4" x14ac:dyDescent="0.25">
      <c r="B391" s="57" t="s">
        <v>112</v>
      </c>
      <c r="C391" s="67"/>
      <c r="D391" s="63"/>
      <c r="E391" s="31">
        <v>3</v>
      </c>
      <c r="F391" s="7">
        <v>1</v>
      </c>
      <c r="I391" s="7">
        <v>1</v>
      </c>
    </row>
    <row r="392" spans="2:18" ht="26.4" x14ac:dyDescent="0.25">
      <c r="B392" s="57" t="s">
        <v>112</v>
      </c>
      <c r="C392" s="67"/>
      <c r="D392" s="63"/>
      <c r="E392" s="31">
        <v>4</v>
      </c>
      <c r="F392" s="7">
        <v>1</v>
      </c>
      <c r="I392" s="7">
        <v>1</v>
      </c>
    </row>
    <row r="393" spans="2:18" s="4" customFormat="1" ht="27" thickBot="1" x14ac:dyDescent="0.3">
      <c r="B393" s="58" t="s">
        <v>112</v>
      </c>
      <c r="C393" s="68"/>
      <c r="D393" s="64"/>
      <c r="E393" s="32">
        <v>5</v>
      </c>
      <c r="F393" s="8">
        <v>1</v>
      </c>
      <c r="I393" s="8">
        <v>1</v>
      </c>
      <c r="M393" s="8"/>
      <c r="O393" s="8"/>
      <c r="P393" s="22"/>
      <c r="R393" s="22"/>
    </row>
    <row r="394" spans="2:18" ht="40.200000000000003" customHeight="1" x14ac:dyDescent="0.25">
      <c r="B394" s="56" t="s">
        <v>112</v>
      </c>
      <c r="C394" s="66" t="s">
        <v>74</v>
      </c>
      <c r="D394" s="63" t="s">
        <v>116</v>
      </c>
      <c r="E394" s="31">
        <v>1</v>
      </c>
      <c r="F394" s="7">
        <v>1</v>
      </c>
      <c r="L394" s="3">
        <v>1</v>
      </c>
      <c r="M394" s="7">
        <f>MAX(COUNT(I394:I398)+COUNT(K394:K398),COUNT(J394:J398)+COUNT(L394:L398))</f>
        <v>5</v>
      </c>
      <c r="N394" s="3">
        <f>M394/5</f>
        <v>1</v>
      </c>
      <c r="O394" s="7">
        <f>SUM(I394:I398,K394:K398)</f>
        <v>0</v>
      </c>
      <c r="P394" s="18">
        <f>O394/5</f>
        <v>0</v>
      </c>
    </row>
    <row r="395" spans="2:18" ht="26.4" x14ac:dyDescent="0.25">
      <c r="B395" s="57" t="s">
        <v>112</v>
      </c>
      <c r="C395" s="67"/>
      <c r="D395" s="63"/>
      <c r="E395" s="31">
        <v>2</v>
      </c>
      <c r="F395" s="7">
        <v>1</v>
      </c>
      <c r="L395" s="3">
        <v>1</v>
      </c>
    </row>
    <row r="396" spans="2:18" ht="26.4" x14ac:dyDescent="0.25">
      <c r="B396" s="57" t="s">
        <v>112</v>
      </c>
      <c r="C396" s="67"/>
      <c r="D396" s="63"/>
      <c r="E396" s="31">
        <v>3</v>
      </c>
      <c r="F396" s="7">
        <v>1</v>
      </c>
      <c r="L396" s="3">
        <v>1</v>
      </c>
    </row>
    <row r="397" spans="2:18" ht="26.4" x14ac:dyDescent="0.25">
      <c r="B397" s="57" t="s">
        <v>112</v>
      </c>
      <c r="C397" s="67"/>
      <c r="D397" s="63"/>
      <c r="E397" s="31">
        <v>4</v>
      </c>
      <c r="F397" s="7">
        <v>1</v>
      </c>
      <c r="L397" s="3">
        <v>1</v>
      </c>
    </row>
    <row r="398" spans="2:18" s="4" customFormat="1" ht="27" thickBot="1" x14ac:dyDescent="0.3">
      <c r="B398" s="58" t="s">
        <v>112</v>
      </c>
      <c r="C398" s="68"/>
      <c r="D398" s="64"/>
      <c r="E398" s="32">
        <v>5</v>
      </c>
      <c r="F398" s="8">
        <v>1</v>
      </c>
      <c r="I398" s="8"/>
      <c r="L398" s="4">
        <v>1</v>
      </c>
      <c r="M398" s="8"/>
      <c r="O398" s="8"/>
      <c r="P398" s="22"/>
      <c r="R398" s="22"/>
    </row>
    <row r="399" spans="2:18" ht="93" customHeight="1" x14ac:dyDescent="0.25">
      <c r="B399" s="56" t="s">
        <v>112</v>
      </c>
      <c r="C399" s="66" t="s">
        <v>75</v>
      </c>
      <c r="D399" s="63" t="s">
        <v>116</v>
      </c>
      <c r="E399" s="31">
        <v>1</v>
      </c>
      <c r="F399" s="7">
        <v>1</v>
      </c>
      <c r="L399" s="3">
        <v>1</v>
      </c>
      <c r="M399" s="7">
        <f>MAX(COUNT(I399:I403)+COUNT(K399:K403),COUNT(J399:J403)+COUNT(L399:L403))</f>
        <v>5</v>
      </c>
      <c r="N399" s="3">
        <f>M399/5</f>
        <v>1</v>
      </c>
      <c r="O399" s="7">
        <f>SUM(I399:I403,K399:K403)</f>
        <v>0</v>
      </c>
      <c r="P399" s="18">
        <f>O399/5</f>
        <v>0</v>
      </c>
    </row>
    <row r="400" spans="2:18" ht="26.4" x14ac:dyDescent="0.25">
      <c r="B400" s="57" t="s">
        <v>112</v>
      </c>
      <c r="C400" s="67"/>
      <c r="D400" s="63"/>
      <c r="E400" s="31">
        <v>2</v>
      </c>
      <c r="F400" s="7">
        <v>1</v>
      </c>
      <c r="L400" s="3">
        <v>1</v>
      </c>
    </row>
    <row r="401" spans="2:18" ht="26.4" x14ac:dyDescent="0.25">
      <c r="B401" s="57" t="s">
        <v>112</v>
      </c>
      <c r="C401" s="67"/>
      <c r="D401" s="63"/>
      <c r="E401" s="31">
        <v>3</v>
      </c>
      <c r="F401" s="7">
        <v>1</v>
      </c>
      <c r="L401" s="3">
        <v>1</v>
      </c>
    </row>
    <row r="402" spans="2:18" ht="26.4" x14ac:dyDescent="0.25">
      <c r="B402" s="57" t="s">
        <v>112</v>
      </c>
      <c r="C402" s="67"/>
      <c r="D402" s="63"/>
      <c r="E402" s="31">
        <v>4</v>
      </c>
      <c r="F402" s="7">
        <v>1</v>
      </c>
      <c r="L402" s="3">
        <v>1</v>
      </c>
    </row>
    <row r="403" spans="2:18" s="4" customFormat="1" ht="27" thickBot="1" x14ac:dyDescent="0.3">
      <c r="B403" s="58" t="s">
        <v>112</v>
      </c>
      <c r="C403" s="68"/>
      <c r="D403" s="64"/>
      <c r="E403" s="32">
        <v>5</v>
      </c>
      <c r="F403" s="8">
        <v>1</v>
      </c>
      <c r="I403" s="8"/>
      <c r="L403" s="4">
        <v>1</v>
      </c>
      <c r="M403" s="8"/>
      <c r="O403" s="8"/>
      <c r="P403" s="22"/>
      <c r="R403" s="22"/>
    </row>
    <row r="404" spans="2:18" ht="93" customHeight="1" x14ac:dyDescent="0.25">
      <c r="B404" s="56" t="s">
        <v>112</v>
      </c>
      <c r="C404" s="66" t="s">
        <v>76</v>
      </c>
      <c r="D404" s="63" t="s">
        <v>116</v>
      </c>
      <c r="E404" s="31">
        <v>1</v>
      </c>
      <c r="F404" s="7">
        <v>1</v>
      </c>
      <c r="L404" s="3">
        <v>1</v>
      </c>
      <c r="M404" s="7">
        <f>MAX(COUNT(I404:I408)+COUNT(K404:K408),COUNT(J404:J408)+COUNT(L404:L408))</f>
        <v>5</v>
      </c>
      <c r="N404" s="3">
        <f>M404/5</f>
        <v>1</v>
      </c>
      <c r="O404" s="7">
        <f>SUM(I404:I408,K404:K408)</f>
        <v>0</v>
      </c>
      <c r="P404" s="18">
        <f>O404/5</f>
        <v>0</v>
      </c>
    </row>
    <row r="405" spans="2:18" ht="26.4" x14ac:dyDescent="0.25">
      <c r="B405" s="57" t="s">
        <v>112</v>
      </c>
      <c r="C405" s="67"/>
      <c r="D405" s="63"/>
      <c r="E405" s="31">
        <v>2</v>
      </c>
      <c r="F405" s="7">
        <v>1</v>
      </c>
      <c r="L405" s="3">
        <v>1</v>
      </c>
    </row>
    <row r="406" spans="2:18" ht="26.4" x14ac:dyDescent="0.25">
      <c r="B406" s="57" t="s">
        <v>112</v>
      </c>
      <c r="C406" s="67"/>
      <c r="D406" s="63"/>
      <c r="E406" s="31">
        <v>3</v>
      </c>
      <c r="F406" s="7">
        <v>1</v>
      </c>
      <c r="L406" s="3">
        <v>1</v>
      </c>
    </row>
    <row r="407" spans="2:18" ht="26.4" x14ac:dyDescent="0.25">
      <c r="B407" s="57" t="s">
        <v>112</v>
      </c>
      <c r="C407" s="67"/>
      <c r="D407" s="63"/>
      <c r="E407" s="31">
        <v>4</v>
      </c>
      <c r="F407" s="7">
        <v>1</v>
      </c>
      <c r="L407" s="3">
        <v>1</v>
      </c>
    </row>
    <row r="408" spans="2:18" s="4" customFormat="1" ht="27" thickBot="1" x14ac:dyDescent="0.3">
      <c r="B408" s="58" t="s">
        <v>112</v>
      </c>
      <c r="C408" s="68"/>
      <c r="D408" s="64"/>
      <c r="E408" s="32">
        <v>5</v>
      </c>
      <c r="F408" s="8">
        <v>1</v>
      </c>
      <c r="I408" s="8"/>
      <c r="L408" s="4">
        <v>1</v>
      </c>
      <c r="M408" s="8"/>
      <c r="O408" s="8"/>
      <c r="P408" s="22"/>
      <c r="R408" s="22"/>
    </row>
    <row r="409" spans="2:18" s="2" customFormat="1" ht="13.2" customHeight="1" x14ac:dyDescent="0.25">
      <c r="B409" s="56" t="s">
        <v>84</v>
      </c>
      <c r="C409" s="65" t="s">
        <v>95</v>
      </c>
      <c r="D409" s="63" t="s">
        <v>116</v>
      </c>
      <c r="E409" s="34">
        <v>1</v>
      </c>
      <c r="F409" s="15">
        <v>1</v>
      </c>
      <c r="G409" s="14"/>
      <c r="H409" s="14"/>
      <c r="I409" s="15">
        <v>1</v>
      </c>
      <c r="J409" s="14"/>
      <c r="K409" s="14"/>
      <c r="L409" s="14"/>
      <c r="M409" s="7">
        <f>MAX(COUNT(I409:I413)+COUNT(K409:K413),COUNT(J409:J413)+COUNT(L409:L413))</f>
        <v>3</v>
      </c>
      <c r="N409" s="3">
        <f>M409/5</f>
        <v>0.6</v>
      </c>
      <c r="O409" s="7">
        <f>SUM(I409:I413,K409:K413)</f>
        <v>3</v>
      </c>
      <c r="P409" s="18">
        <f>O409/5</f>
        <v>0.6</v>
      </c>
      <c r="Q409" s="14"/>
      <c r="R409" s="47"/>
    </row>
    <row r="410" spans="2:18" x14ac:dyDescent="0.25">
      <c r="B410" s="57" t="s">
        <v>84</v>
      </c>
      <c r="C410" s="61"/>
      <c r="D410" s="63"/>
      <c r="E410" s="35">
        <v>2</v>
      </c>
      <c r="F410" s="11">
        <v>1</v>
      </c>
      <c r="G410" s="16"/>
      <c r="H410" s="16"/>
      <c r="I410" s="11">
        <v>1</v>
      </c>
      <c r="J410" s="16"/>
      <c r="K410" s="16"/>
      <c r="L410" s="16"/>
      <c r="M410" s="11"/>
      <c r="N410" s="16"/>
      <c r="O410" s="11"/>
      <c r="P410" s="23"/>
      <c r="Q410" s="16"/>
    </row>
    <row r="411" spans="2:18" x14ac:dyDescent="0.25">
      <c r="B411" s="57" t="s">
        <v>84</v>
      </c>
      <c r="C411" s="61"/>
      <c r="D411" s="63"/>
      <c r="E411" s="35">
        <v>3</v>
      </c>
      <c r="F411" s="11">
        <v>1</v>
      </c>
      <c r="G411" s="16"/>
      <c r="H411" s="16"/>
      <c r="I411" s="11"/>
      <c r="J411" s="16"/>
      <c r="K411" s="16"/>
      <c r="L411" s="16">
        <v>1</v>
      </c>
      <c r="M411" s="11"/>
      <c r="N411" s="16"/>
      <c r="O411" s="11"/>
      <c r="P411" s="23"/>
      <c r="Q411" s="16"/>
    </row>
    <row r="412" spans="2:18" x14ac:dyDescent="0.25">
      <c r="B412" s="57" t="s">
        <v>84</v>
      </c>
      <c r="C412" s="61"/>
      <c r="D412" s="63"/>
      <c r="E412" s="35">
        <v>4</v>
      </c>
      <c r="F412" s="11">
        <v>1</v>
      </c>
      <c r="G412" s="16"/>
      <c r="H412" s="16"/>
      <c r="I412" s="11">
        <v>1</v>
      </c>
      <c r="J412" s="16"/>
      <c r="K412" s="16"/>
      <c r="L412" s="16"/>
      <c r="M412" s="11"/>
      <c r="N412" s="16"/>
      <c r="O412" s="11"/>
      <c r="P412" s="23"/>
      <c r="Q412" s="16"/>
    </row>
    <row r="413" spans="2:18" s="4" customFormat="1" ht="13.8" thickBot="1" x14ac:dyDescent="0.3">
      <c r="B413" s="58" t="s">
        <v>84</v>
      </c>
      <c r="C413" s="62"/>
      <c r="D413" s="64"/>
      <c r="E413" s="36">
        <v>5</v>
      </c>
      <c r="F413" s="12">
        <v>1</v>
      </c>
      <c r="G413" s="13"/>
      <c r="H413" s="13"/>
      <c r="I413" s="12"/>
      <c r="J413" s="13"/>
      <c r="K413" s="13"/>
      <c r="L413" s="13">
        <v>1</v>
      </c>
      <c r="M413" s="12"/>
      <c r="N413" s="13"/>
      <c r="O413" s="12"/>
      <c r="P413" s="24"/>
      <c r="Q413" s="13"/>
      <c r="R413" s="22"/>
    </row>
    <row r="414" spans="2:18" ht="13.2" customHeight="1" x14ac:dyDescent="0.25">
      <c r="B414" s="56" t="s">
        <v>84</v>
      </c>
      <c r="C414" s="65" t="s">
        <v>96</v>
      </c>
      <c r="D414" s="63" t="s">
        <v>116</v>
      </c>
      <c r="E414" s="35">
        <v>1</v>
      </c>
      <c r="F414" s="11">
        <v>1</v>
      </c>
      <c r="G414" s="16"/>
      <c r="H414" s="16"/>
      <c r="I414" s="11"/>
      <c r="J414" s="16"/>
      <c r="K414" s="16">
        <v>1</v>
      </c>
      <c r="L414" s="16"/>
      <c r="M414" s="7">
        <f>MAX(COUNT(I414:I418)+COUNT(K414:K418),COUNT(J414:J418)+COUNT(L414:L418))</f>
        <v>5</v>
      </c>
      <c r="N414" s="3">
        <f>M414/5</f>
        <v>1</v>
      </c>
      <c r="O414" s="7">
        <f>SUM(I414:I418,K414:K418)</f>
        <v>5</v>
      </c>
      <c r="P414" s="18">
        <f>O414/5</f>
        <v>1</v>
      </c>
      <c r="Q414" s="16"/>
    </row>
    <row r="415" spans="2:18" x14ac:dyDescent="0.25">
      <c r="B415" s="57" t="s">
        <v>84</v>
      </c>
      <c r="C415" s="61"/>
      <c r="D415" s="63"/>
      <c r="E415" s="35">
        <v>2</v>
      </c>
      <c r="F415" s="11">
        <v>1</v>
      </c>
      <c r="G415" s="16"/>
      <c r="H415" s="16"/>
      <c r="I415" s="11"/>
      <c r="J415" s="16"/>
      <c r="K415" s="16">
        <v>1</v>
      </c>
      <c r="L415" s="16"/>
      <c r="M415" s="11"/>
      <c r="N415" s="16"/>
      <c r="O415" s="11"/>
      <c r="P415" s="23"/>
      <c r="Q415" s="16"/>
    </row>
    <row r="416" spans="2:18" x14ac:dyDescent="0.25">
      <c r="B416" s="57" t="s">
        <v>84</v>
      </c>
      <c r="C416" s="61"/>
      <c r="D416" s="63"/>
      <c r="E416" s="35">
        <v>3</v>
      </c>
      <c r="F416" s="11">
        <v>1</v>
      </c>
      <c r="G416" s="16"/>
      <c r="H416" s="16"/>
      <c r="I416" s="11"/>
      <c r="J416" s="16"/>
      <c r="K416" s="16">
        <v>1</v>
      </c>
      <c r="L416" s="16"/>
      <c r="M416" s="11"/>
      <c r="N416" s="16"/>
      <c r="O416" s="11"/>
      <c r="P416" s="23"/>
      <c r="Q416" s="16"/>
    </row>
    <row r="417" spans="2:18" x14ac:dyDescent="0.25">
      <c r="B417" s="57" t="s">
        <v>84</v>
      </c>
      <c r="C417" s="61"/>
      <c r="D417" s="63"/>
      <c r="E417" s="35">
        <v>4</v>
      </c>
      <c r="F417" s="11">
        <v>1</v>
      </c>
      <c r="G417" s="16"/>
      <c r="H417" s="16"/>
      <c r="I417" s="11"/>
      <c r="J417" s="16"/>
      <c r="K417" s="16">
        <v>1</v>
      </c>
      <c r="L417" s="16"/>
      <c r="M417" s="11"/>
      <c r="N417" s="16"/>
      <c r="O417" s="11"/>
      <c r="P417" s="23"/>
      <c r="Q417" s="16"/>
    </row>
    <row r="418" spans="2:18" s="4" customFormat="1" ht="13.8" thickBot="1" x14ac:dyDescent="0.3">
      <c r="B418" s="58" t="s">
        <v>84</v>
      </c>
      <c r="C418" s="62"/>
      <c r="D418" s="64"/>
      <c r="E418" s="36">
        <v>5</v>
      </c>
      <c r="F418" s="12">
        <v>1</v>
      </c>
      <c r="G418" s="13"/>
      <c r="H418" s="13"/>
      <c r="I418" s="12"/>
      <c r="J418" s="13"/>
      <c r="K418" s="13">
        <v>1</v>
      </c>
      <c r="L418" s="13"/>
      <c r="M418" s="12"/>
      <c r="N418" s="13"/>
      <c r="O418" s="12"/>
      <c r="P418" s="24"/>
      <c r="Q418" s="13"/>
      <c r="R418" s="22"/>
    </row>
    <row r="419" spans="2:18" ht="13.2" customHeight="1" x14ac:dyDescent="0.25">
      <c r="B419" s="56" t="s">
        <v>84</v>
      </c>
      <c r="C419" s="65" t="s">
        <v>97</v>
      </c>
      <c r="D419" s="63" t="s">
        <v>116</v>
      </c>
      <c r="E419" s="35">
        <v>1</v>
      </c>
      <c r="F419" s="11">
        <v>1</v>
      </c>
      <c r="G419" s="16"/>
      <c r="H419" s="16"/>
      <c r="I419" s="11">
        <v>1</v>
      </c>
      <c r="J419" s="16"/>
      <c r="K419" s="16"/>
      <c r="L419" s="16"/>
      <c r="M419" s="7">
        <f>MAX(COUNT(I419:I423)+COUNT(K419:K423),COUNT(J419:J423)+COUNT(L419:L423))</f>
        <v>5</v>
      </c>
      <c r="N419" s="3">
        <f>M419/5</f>
        <v>1</v>
      </c>
      <c r="O419" s="7">
        <f>SUM(I419:I423,K419:K423)</f>
        <v>5</v>
      </c>
      <c r="P419" s="18">
        <f>O419/5</f>
        <v>1</v>
      </c>
      <c r="Q419" s="16"/>
    </row>
    <row r="420" spans="2:18" x14ac:dyDescent="0.25">
      <c r="B420" s="57" t="s">
        <v>84</v>
      </c>
      <c r="C420" s="61"/>
      <c r="D420" s="63"/>
      <c r="E420" s="35">
        <v>2</v>
      </c>
      <c r="F420" s="11">
        <v>1</v>
      </c>
      <c r="G420" s="16"/>
      <c r="H420" s="16"/>
      <c r="I420" s="11">
        <v>1</v>
      </c>
      <c r="J420" s="16"/>
      <c r="K420" s="16"/>
      <c r="L420" s="16"/>
      <c r="M420" s="11"/>
      <c r="N420" s="16"/>
      <c r="O420" s="11"/>
      <c r="P420" s="23"/>
      <c r="Q420" s="16"/>
    </row>
    <row r="421" spans="2:18" x14ac:dyDescent="0.25">
      <c r="B421" s="57" t="s">
        <v>84</v>
      </c>
      <c r="C421" s="61"/>
      <c r="D421" s="63"/>
      <c r="E421" s="35">
        <v>3</v>
      </c>
      <c r="F421" s="11">
        <v>1</v>
      </c>
      <c r="G421" s="16"/>
      <c r="H421" s="16"/>
      <c r="I421" s="11">
        <v>1</v>
      </c>
      <c r="J421" s="16"/>
      <c r="K421" s="16"/>
      <c r="L421" s="16"/>
      <c r="M421" s="11"/>
      <c r="N421" s="16"/>
      <c r="O421" s="11"/>
      <c r="P421" s="23"/>
      <c r="Q421" s="16"/>
    </row>
    <row r="422" spans="2:18" x14ac:dyDescent="0.25">
      <c r="B422" s="57" t="s">
        <v>84</v>
      </c>
      <c r="C422" s="61"/>
      <c r="D422" s="63"/>
      <c r="E422" s="35">
        <v>4</v>
      </c>
      <c r="F422" s="11">
        <v>1</v>
      </c>
      <c r="G422" s="16"/>
      <c r="H422" s="16"/>
      <c r="I422" s="11">
        <v>1</v>
      </c>
      <c r="J422" s="16"/>
      <c r="K422" s="16"/>
      <c r="L422" s="16"/>
      <c r="M422" s="11"/>
      <c r="N422" s="16"/>
      <c r="O422" s="11"/>
      <c r="P422" s="23"/>
      <c r="Q422" s="16"/>
    </row>
    <row r="423" spans="2:18" s="4" customFormat="1" ht="13.8" thickBot="1" x14ac:dyDescent="0.3">
      <c r="B423" s="58" t="s">
        <v>84</v>
      </c>
      <c r="C423" s="62"/>
      <c r="D423" s="64"/>
      <c r="E423" s="36">
        <v>5</v>
      </c>
      <c r="F423" s="12">
        <v>1</v>
      </c>
      <c r="G423" s="13"/>
      <c r="H423" s="13"/>
      <c r="I423" s="12">
        <v>1</v>
      </c>
      <c r="J423" s="13"/>
      <c r="K423" s="13"/>
      <c r="L423" s="13"/>
      <c r="M423" s="12"/>
      <c r="N423" s="13"/>
      <c r="O423" s="12"/>
      <c r="P423" s="24"/>
      <c r="Q423" s="13"/>
      <c r="R423" s="22"/>
    </row>
    <row r="424" spans="2:18" ht="13.2" customHeight="1" x14ac:dyDescent="0.25">
      <c r="B424" s="56" t="s">
        <v>84</v>
      </c>
      <c r="C424" s="65" t="s">
        <v>98</v>
      </c>
      <c r="D424" s="63" t="s">
        <v>116</v>
      </c>
      <c r="E424" s="35">
        <v>1</v>
      </c>
      <c r="F424" s="11">
        <v>1</v>
      </c>
      <c r="G424" s="16"/>
      <c r="H424" s="16"/>
      <c r="I424" s="11"/>
      <c r="J424" s="16"/>
      <c r="K424" s="16"/>
      <c r="L424" s="16">
        <v>1</v>
      </c>
      <c r="M424" s="7">
        <f>MAX(COUNT(I424:I428)+COUNT(K424:K428),COUNT(J424:J428)+COUNT(L424:L428))</f>
        <v>5</v>
      </c>
      <c r="N424" s="3">
        <f>M424/5</f>
        <v>1</v>
      </c>
      <c r="O424" s="7">
        <f>SUM(I424:I428,K424:K428)</f>
        <v>0</v>
      </c>
      <c r="P424" s="18">
        <f>O424/5</f>
        <v>0</v>
      </c>
      <c r="Q424" s="16"/>
    </row>
    <row r="425" spans="2:18" x14ac:dyDescent="0.25">
      <c r="B425" s="57" t="s">
        <v>84</v>
      </c>
      <c r="C425" s="61"/>
      <c r="D425" s="63"/>
      <c r="E425" s="35">
        <v>2</v>
      </c>
      <c r="F425" s="11">
        <v>1</v>
      </c>
      <c r="G425" s="16"/>
      <c r="H425" s="16"/>
      <c r="I425" s="11"/>
      <c r="J425" s="16"/>
      <c r="K425" s="16"/>
      <c r="L425" s="16">
        <v>1</v>
      </c>
      <c r="M425" s="11"/>
      <c r="N425" s="16"/>
      <c r="O425" s="11"/>
      <c r="P425" s="23"/>
      <c r="Q425" s="16"/>
    </row>
    <row r="426" spans="2:18" x14ac:dyDescent="0.25">
      <c r="B426" s="57" t="s">
        <v>84</v>
      </c>
      <c r="C426" s="61"/>
      <c r="D426" s="63"/>
      <c r="E426" s="35">
        <v>3</v>
      </c>
      <c r="F426" s="11">
        <v>1</v>
      </c>
      <c r="G426" s="16"/>
      <c r="H426" s="16"/>
      <c r="I426" s="11"/>
      <c r="J426" s="16"/>
      <c r="K426" s="16"/>
      <c r="L426" s="16">
        <v>1</v>
      </c>
      <c r="M426" s="11"/>
      <c r="N426" s="16"/>
      <c r="O426" s="11"/>
      <c r="P426" s="23"/>
      <c r="Q426" s="16"/>
    </row>
    <row r="427" spans="2:18" x14ac:dyDescent="0.25">
      <c r="B427" s="57" t="s">
        <v>84</v>
      </c>
      <c r="C427" s="61"/>
      <c r="D427" s="63"/>
      <c r="E427" s="35">
        <v>4</v>
      </c>
      <c r="F427" s="11">
        <v>1</v>
      </c>
      <c r="G427" s="16"/>
      <c r="H427" s="16"/>
      <c r="I427" s="11"/>
      <c r="J427" s="16"/>
      <c r="K427" s="16"/>
      <c r="L427" s="16">
        <v>1</v>
      </c>
      <c r="M427" s="11"/>
      <c r="N427" s="16"/>
      <c r="O427" s="11"/>
      <c r="P427" s="23"/>
      <c r="Q427" s="16"/>
    </row>
    <row r="428" spans="2:18" s="4" customFormat="1" ht="13.8" thickBot="1" x14ac:dyDescent="0.3">
      <c r="B428" s="58" t="s">
        <v>84</v>
      </c>
      <c r="C428" s="62"/>
      <c r="D428" s="64"/>
      <c r="E428" s="36">
        <v>5</v>
      </c>
      <c r="F428" s="12">
        <v>1</v>
      </c>
      <c r="G428" s="13"/>
      <c r="H428" s="13"/>
      <c r="I428" s="12"/>
      <c r="J428" s="13"/>
      <c r="K428" s="13"/>
      <c r="L428" s="13">
        <v>1</v>
      </c>
      <c r="M428" s="12"/>
      <c r="N428" s="13"/>
      <c r="O428" s="12"/>
      <c r="P428" s="24"/>
      <c r="Q428" s="13"/>
      <c r="R428" s="22"/>
    </row>
    <row r="429" spans="2:18" ht="13.2" customHeight="1" x14ac:dyDescent="0.25">
      <c r="B429" s="56" t="s">
        <v>84</v>
      </c>
      <c r="C429" s="65" t="s">
        <v>99</v>
      </c>
      <c r="D429" s="63" t="s">
        <v>116</v>
      </c>
      <c r="E429" s="35">
        <v>1</v>
      </c>
      <c r="F429" s="11">
        <v>1</v>
      </c>
      <c r="G429" s="16"/>
      <c r="H429" s="16"/>
      <c r="I429" s="11">
        <v>1</v>
      </c>
      <c r="J429" s="16"/>
      <c r="K429" s="16"/>
      <c r="L429" s="16"/>
      <c r="M429" s="7">
        <f>MAX(COUNT(I429:I433)+COUNT(K429:K433),COUNT(J429:J433)+COUNT(L429:L433))</f>
        <v>5</v>
      </c>
      <c r="N429" s="3">
        <f>M429/5</f>
        <v>1</v>
      </c>
      <c r="O429" s="7">
        <f>SUM(I429:I433,K429:K433)</f>
        <v>5</v>
      </c>
      <c r="P429" s="18">
        <f>O429/5</f>
        <v>1</v>
      </c>
      <c r="Q429" s="16"/>
    </row>
    <row r="430" spans="2:18" x14ac:dyDescent="0.25">
      <c r="B430" s="57" t="s">
        <v>84</v>
      </c>
      <c r="C430" s="61"/>
      <c r="D430" s="63"/>
      <c r="E430" s="35">
        <v>2</v>
      </c>
      <c r="F430" s="11">
        <v>1</v>
      </c>
      <c r="G430" s="16"/>
      <c r="H430" s="16"/>
      <c r="I430" s="11">
        <v>1</v>
      </c>
      <c r="J430" s="16"/>
      <c r="K430" s="16"/>
      <c r="L430" s="16"/>
      <c r="M430" s="11"/>
      <c r="N430" s="16"/>
      <c r="O430" s="11"/>
      <c r="P430" s="23"/>
      <c r="Q430" s="16"/>
    </row>
    <row r="431" spans="2:18" x14ac:dyDescent="0.25">
      <c r="B431" s="57" t="s">
        <v>84</v>
      </c>
      <c r="C431" s="61"/>
      <c r="D431" s="63"/>
      <c r="E431" s="35">
        <v>3</v>
      </c>
      <c r="F431" s="11">
        <v>1</v>
      </c>
      <c r="G431" s="16"/>
      <c r="H431" s="16"/>
      <c r="I431" s="11">
        <v>1</v>
      </c>
      <c r="J431" s="16"/>
      <c r="K431" s="16"/>
      <c r="L431" s="16"/>
      <c r="M431" s="11"/>
      <c r="N431" s="16"/>
      <c r="O431" s="11"/>
      <c r="P431" s="23"/>
      <c r="Q431" s="16"/>
    </row>
    <row r="432" spans="2:18" x14ac:dyDescent="0.25">
      <c r="B432" s="57" t="s">
        <v>84</v>
      </c>
      <c r="C432" s="61"/>
      <c r="D432" s="63"/>
      <c r="E432" s="35">
        <v>4</v>
      </c>
      <c r="F432" s="11">
        <v>1</v>
      </c>
      <c r="G432" s="16"/>
      <c r="H432" s="16"/>
      <c r="I432" s="11">
        <v>1</v>
      </c>
      <c r="J432" s="16"/>
      <c r="K432" s="16"/>
      <c r="L432" s="16"/>
      <c r="M432" s="11"/>
      <c r="N432" s="16"/>
      <c r="O432" s="11"/>
      <c r="P432" s="23"/>
      <c r="Q432" s="16"/>
    </row>
    <row r="433" spans="2:18" s="4" customFormat="1" ht="13.8" thickBot="1" x14ac:dyDescent="0.3">
      <c r="B433" s="58" t="s">
        <v>84</v>
      </c>
      <c r="C433" s="62"/>
      <c r="D433" s="64"/>
      <c r="E433" s="36">
        <v>5</v>
      </c>
      <c r="F433" s="12">
        <v>1</v>
      </c>
      <c r="G433" s="13"/>
      <c r="H433" s="13"/>
      <c r="I433" s="12">
        <v>1</v>
      </c>
      <c r="J433" s="13"/>
      <c r="K433" s="13"/>
      <c r="L433" s="13"/>
      <c r="M433" s="12"/>
      <c r="N433" s="13"/>
      <c r="O433" s="12"/>
      <c r="P433" s="24"/>
      <c r="Q433" s="13"/>
      <c r="R433" s="22"/>
    </row>
    <row r="434" spans="2:18" x14ac:dyDescent="0.25">
      <c r="B434" s="56" t="s">
        <v>88</v>
      </c>
      <c r="C434" s="65" t="s">
        <v>100</v>
      </c>
      <c r="D434" s="63" t="s">
        <v>116</v>
      </c>
      <c r="E434" s="35">
        <v>1</v>
      </c>
      <c r="F434" s="11"/>
      <c r="G434" s="16">
        <v>1</v>
      </c>
      <c r="H434" s="16"/>
      <c r="I434" s="11"/>
      <c r="J434" s="16"/>
      <c r="K434" s="16"/>
      <c r="L434" s="16">
        <v>1</v>
      </c>
      <c r="M434" s="7">
        <f>MAX(COUNT(I434:I438)+COUNT(K434:K438),COUNT(J434:J438)+COUNT(L434:L438))</f>
        <v>5</v>
      </c>
      <c r="N434" s="3">
        <f>M434/5</f>
        <v>1</v>
      </c>
      <c r="O434" s="7">
        <f>SUM(I434:I438,K434:K438)</f>
        <v>0</v>
      </c>
      <c r="P434" s="18">
        <f>O434/5</f>
        <v>0</v>
      </c>
      <c r="Q434" s="16"/>
    </row>
    <row r="435" spans="2:18" x14ac:dyDescent="0.25">
      <c r="B435" s="57" t="s">
        <v>88</v>
      </c>
      <c r="C435" s="61"/>
      <c r="D435" s="63"/>
      <c r="E435" s="35">
        <v>2</v>
      </c>
      <c r="F435" s="11">
        <v>1</v>
      </c>
      <c r="G435" s="16"/>
      <c r="H435" s="16"/>
      <c r="I435" s="11"/>
      <c r="J435" s="16"/>
      <c r="K435" s="16"/>
      <c r="L435" s="16">
        <v>1</v>
      </c>
      <c r="M435" s="11"/>
      <c r="N435" s="16"/>
      <c r="O435" s="11"/>
      <c r="P435" s="23"/>
      <c r="Q435" s="16"/>
    </row>
    <row r="436" spans="2:18" x14ac:dyDescent="0.25">
      <c r="B436" s="57" t="s">
        <v>88</v>
      </c>
      <c r="C436" s="61"/>
      <c r="D436" s="63"/>
      <c r="E436" s="35">
        <v>3</v>
      </c>
      <c r="F436" s="11">
        <v>1</v>
      </c>
      <c r="G436" s="16"/>
      <c r="H436" s="16"/>
      <c r="I436" s="11"/>
      <c r="J436" s="16"/>
      <c r="K436" s="16"/>
      <c r="L436" s="16">
        <v>1</v>
      </c>
      <c r="M436" s="11"/>
      <c r="N436" s="16"/>
      <c r="O436" s="11"/>
      <c r="P436" s="23"/>
      <c r="Q436" s="16"/>
    </row>
    <row r="437" spans="2:18" x14ac:dyDescent="0.25">
      <c r="B437" s="57" t="s">
        <v>88</v>
      </c>
      <c r="C437" s="61"/>
      <c r="D437" s="63"/>
      <c r="E437" s="35">
        <v>4</v>
      </c>
      <c r="F437" s="11">
        <v>1</v>
      </c>
      <c r="G437" s="16"/>
      <c r="H437" s="16"/>
      <c r="I437" s="11"/>
      <c r="J437" s="16"/>
      <c r="K437" s="16"/>
      <c r="L437" s="16">
        <v>1</v>
      </c>
      <c r="M437" s="11"/>
      <c r="N437" s="16"/>
      <c r="O437" s="11"/>
      <c r="P437" s="23"/>
      <c r="Q437" s="16"/>
    </row>
    <row r="438" spans="2:18" s="4" customFormat="1" ht="13.8" thickBot="1" x14ac:dyDescent="0.3">
      <c r="B438" s="58" t="s">
        <v>88</v>
      </c>
      <c r="C438" s="62"/>
      <c r="D438" s="64"/>
      <c r="E438" s="36">
        <v>5</v>
      </c>
      <c r="F438" s="12">
        <v>1</v>
      </c>
      <c r="G438" s="13"/>
      <c r="H438" s="13"/>
      <c r="I438" s="12"/>
      <c r="J438" s="13"/>
      <c r="K438" s="13"/>
      <c r="L438" s="13">
        <v>1</v>
      </c>
      <c r="M438" s="12"/>
      <c r="N438" s="13"/>
      <c r="O438" s="12"/>
      <c r="P438" s="24"/>
      <c r="Q438" s="13"/>
      <c r="R438" s="22"/>
    </row>
    <row r="439" spans="2:18" x14ac:dyDescent="0.25">
      <c r="B439" s="56" t="s">
        <v>88</v>
      </c>
      <c r="C439" s="65" t="s">
        <v>101</v>
      </c>
      <c r="D439" s="63" t="s">
        <v>116</v>
      </c>
      <c r="E439" s="35">
        <v>1</v>
      </c>
      <c r="F439" s="11">
        <v>1</v>
      </c>
      <c r="G439" s="16"/>
      <c r="H439" s="16"/>
      <c r="I439" s="11"/>
      <c r="J439" s="16"/>
      <c r="K439" s="16"/>
      <c r="L439" s="16">
        <v>1</v>
      </c>
      <c r="M439" s="7">
        <f>MAX(COUNT(I439:I443)+COUNT(K439:K443),COUNT(J439:J443)+COUNT(L439:L443))</f>
        <v>5</v>
      </c>
      <c r="N439" s="3">
        <f>M439/5</f>
        <v>1</v>
      </c>
      <c r="O439" s="7">
        <f>SUM(I439:I443,K439:K443)</f>
        <v>0</v>
      </c>
      <c r="P439" s="18">
        <f>O439/5</f>
        <v>0</v>
      </c>
      <c r="Q439" s="16"/>
    </row>
    <row r="440" spans="2:18" x14ac:dyDescent="0.25">
      <c r="B440" s="57" t="s">
        <v>88</v>
      </c>
      <c r="C440" s="61"/>
      <c r="D440" s="63"/>
      <c r="E440" s="35">
        <v>2</v>
      </c>
      <c r="F440" s="11">
        <v>1</v>
      </c>
      <c r="G440" s="16"/>
      <c r="H440" s="16"/>
      <c r="I440" s="11"/>
      <c r="J440" s="16"/>
      <c r="K440" s="16"/>
      <c r="L440" s="16">
        <v>1</v>
      </c>
      <c r="M440" s="11"/>
      <c r="N440" s="16"/>
      <c r="O440" s="11"/>
      <c r="P440" s="23"/>
      <c r="Q440" s="16"/>
    </row>
    <row r="441" spans="2:18" x14ac:dyDescent="0.25">
      <c r="B441" s="57" t="s">
        <v>88</v>
      </c>
      <c r="C441" s="61"/>
      <c r="D441" s="63"/>
      <c r="E441" s="35">
        <v>3</v>
      </c>
      <c r="F441" s="11">
        <v>1</v>
      </c>
      <c r="G441" s="16"/>
      <c r="H441" s="16"/>
      <c r="I441" s="11"/>
      <c r="J441" s="16"/>
      <c r="K441" s="16"/>
      <c r="L441" s="16">
        <v>1</v>
      </c>
      <c r="M441" s="11"/>
      <c r="N441" s="16"/>
      <c r="O441" s="11"/>
      <c r="P441" s="23"/>
      <c r="Q441" s="16"/>
    </row>
    <row r="442" spans="2:18" x14ac:dyDescent="0.25">
      <c r="B442" s="57" t="s">
        <v>88</v>
      </c>
      <c r="C442" s="61"/>
      <c r="D442" s="63"/>
      <c r="E442" s="35">
        <v>4</v>
      </c>
      <c r="F442" s="11">
        <v>1</v>
      </c>
      <c r="G442" s="16"/>
      <c r="H442" s="16"/>
      <c r="I442" s="11"/>
      <c r="J442" s="16"/>
      <c r="K442" s="16"/>
      <c r="L442" s="16">
        <v>1</v>
      </c>
      <c r="M442" s="11"/>
      <c r="N442" s="16"/>
      <c r="O442" s="11"/>
      <c r="P442" s="23"/>
      <c r="Q442" s="16"/>
    </row>
    <row r="443" spans="2:18" s="4" customFormat="1" ht="13.8" thickBot="1" x14ac:dyDescent="0.3">
      <c r="B443" s="58" t="s">
        <v>88</v>
      </c>
      <c r="C443" s="62"/>
      <c r="D443" s="64"/>
      <c r="E443" s="36">
        <v>5</v>
      </c>
      <c r="F443" s="12"/>
      <c r="G443" s="13">
        <v>1</v>
      </c>
      <c r="H443" s="13"/>
      <c r="I443" s="12"/>
      <c r="J443" s="13"/>
      <c r="K443" s="13"/>
      <c r="L443" s="13">
        <v>1</v>
      </c>
      <c r="M443" s="12"/>
      <c r="N443" s="13"/>
      <c r="O443" s="12"/>
      <c r="P443" s="24"/>
      <c r="Q443" s="13"/>
      <c r="R443" s="22"/>
    </row>
    <row r="444" spans="2:18" x14ac:dyDescent="0.25">
      <c r="B444" s="56" t="s">
        <v>88</v>
      </c>
      <c r="C444" s="65" t="s">
        <v>102</v>
      </c>
      <c r="D444" s="63" t="s">
        <v>116</v>
      </c>
      <c r="E444" s="35">
        <v>1</v>
      </c>
      <c r="F444" s="11">
        <v>1</v>
      </c>
      <c r="G444" s="16"/>
      <c r="H444" s="16"/>
      <c r="I444" s="11"/>
      <c r="J444" s="16"/>
      <c r="K444" s="16"/>
      <c r="L444" s="16">
        <v>1</v>
      </c>
      <c r="M444" s="7">
        <f>MAX(COUNT(I444:I448)+COUNT(K444:K448),COUNT(J444:J448)+COUNT(L444:L448))</f>
        <v>5</v>
      </c>
      <c r="N444" s="3">
        <f>M444/5</f>
        <v>1</v>
      </c>
      <c r="O444" s="7">
        <f>SUM(I444:I448,K444:K448)</f>
        <v>0</v>
      </c>
      <c r="P444" s="18">
        <f>O444/5</f>
        <v>0</v>
      </c>
      <c r="Q444" s="25"/>
    </row>
    <row r="445" spans="2:18" x14ac:dyDescent="0.25">
      <c r="B445" s="57" t="s">
        <v>88</v>
      </c>
      <c r="C445" s="61"/>
      <c r="D445" s="63"/>
      <c r="E445" s="35">
        <v>2</v>
      </c>
      <c r="F445" s="11">
        <v>1</v>
      </c>
      <c r="G445" s="16"/>
      <c r="H445" s="16"/>
      <c r="I445" s="11"/>
      <c r="J445" s="16"/>
      <c r="K445" s="16"/>
      <c r="L445" s="16">
        <v>1</v>
      </c>
      <c r="M445" s="26"/>
      <c r="N445" s="27"/>
      <c r="O445" s="11"/>
      <c r="P445" s="23"/>
      <c r="Q445" s="27"/>
    </row>
    <row r="446" spans="2:18" x14ac:dyDescent="0.25">
      <c r="B446" s="57" t="s">
        <v>88</v>
      </c>
      <c r="C446" s="61"/>
      <c r="D446" s="63"/>
      <c r="E446" s="35">
        <v>3</v>
      </c>
      <c r="F446" s="11">
        <v>1</v>
      </c>
      <c r="G446" s="16"/>
      <c r="H446" s="16" t="s">
        <v>103</v>
      </c>
      <c r="I446" s="11"/>
      <c r="J446" s="16"/>
      <c r="K446" s="16"/>
      <c r="L446" s="16">
        <v>1</v>
      </c>
      <c r="M446" s="11"/>
      <c r="N446" s="16"/>
      <c r="O446" s="11"/>
      <c r="P446" s="23"/>
      <c r="Q446" s="16"/>
    </row>
    <row r="447" spans="2:18" x14ac:dyDescent="0.25">
      <c r="B447" s="57" t="s">
        <v>88</v>
      </c>
      <c r="C447" s="61"/>
      <c r="D447" s="63"/>
      <c r="E447" s="35">
        <v>4</v>
      </c>
      <c r="F447" s="11">
        <v>1</v>
      </c>
      <c r="G447" s="16"/>
      <c r="H447" s="16"/>
      <c r="I447" s="11"/>
      <c r="J447" s="16"/>
      <c r="K447" s="16"/>
      <c r="L447" s="16">
        <v>1</v>
      </c>
      <c r="M447" s="26"/>
      <c r="N447" s="27"/>
      <c r="O447" s="11"/>
      <c r="P447" s="23"/>
      <c r="Q447" s="27"/>
    </row>
    <row r="448" spans="2:18" s="4" customFormat="1" ht="13.8" thickBot="1" x14ac:dyDescent="0.3">
      <c r="B448" s="58" t="s">
        <v>88</v>
      </c>
      <c r="C448" s="62"/>
      <c r="D448" s="64"/>
      <c r="E448" s="36">
        <v>5</v>
      </c>
      <c r="F448" s="12">
        <v>1</v>
      </c>
      <c r="G448" s="13"/>
      <c r="H448" s="13"/>
      <c r="I448" s="12"/>
      <c r="J448" s="13"/>
      <c r="K448" s="13"/>
      <c r="L448" s="13">
        <v>1</v>
      </c>
      <c r="M448" s="12"/>
      <c r="N448" s="13"/>
      <c r="O448" s="12"/>
      <c r="P448" s="24"/>
      <c r="Q448" s="13"/>
      <c r="R448" s="22"/>
    </row>
    <row r="449" spans="2:18" ht="13.2" customHeight="1" x14ac:dyDescent="0.25">
      <c r="B449" s="56" t="s">
        <v>111</v>
      </c>
      <c r="C449" s="65" t="s">
        <v>104</v>
      </c>
      <c r="D449" s="63" t="s">
        <v>116</v>
      </c>
      <c r="E449" s="35">
        <v>1</v>
      </c>
      <c r="F449" s="11">
        <v>1</v>
      </c>
      <c r="G449" s="16"/>
      <c r="H449" s="16"/>
      <c r="I449" s="11"/>
      <c r="J449" s="16"/>
      <c r="K449" s="16"/>
      <c r="L449" s="16">
        <v>1</v>
      </c>
      <c r="M449" s="7">
        <f>MAX(COUNT(I449:I453)+COUNT(K449:K453),COUNT(J449:J453)+COUNT(L449:L453))</f>
        <v>5</v>
      </c>
      <c r="N449" s="3">
        <f>M449/5</f>
        <v>1</v>
      </c>
      <c r="O449" s="7">
        <f>SUM(I449:I453,K449:K453)</f>
        <v>0</v>
      </c>
      <c r="P449" s="18">
        <f>O449/5</f>
        <v>0</v>
      </c>
      <c r="Q449" s="16"/>
    </row>
    <row r="450" spans="2:18" ht="26.4" x14ac:dyDescent="0.25">
      <c r="B450" s="57" t="s">
        <v>111</v>
      </c>
      <c r="C450" s="61"/>
      <c r="D450" s="63"/>
      <c r="E450" s="35">
        <v>2</v>
      </c>
      <c r="F450" s="11">
        <v>1</v>
      </c>
      <c r="G450" s="16"/>
      <c r="H450" s="16"/>
      <c r="I450" s="11"/>
      <c r="J450" s="16"/>
      <c r="K450" s="16"/>
      <c r="L450" s="16">
        <v>1</v>
      </c>
      <c r="M450" s="11"/>
      <c r="N450" s="16"/>
      <c r="O450" s="11"/>
      <c r="P450" s="23"/>
      <c r="Q450" s="16"/>
    </row>
    <row r="451" spans="2:18" ht="26.4" x14ac:dyDescent="0.25">
      <c r="B451" s="57" t="s">
        <v>111</v>
      </c>
      <c r="C451" s="61"/>
      <c r="D451" s="63"/>
      <c r="E451" s="35">
        <v>3</v>
      </c>
      <c r="F451" s="11">
        <v>1</v>
      </c>
      <c r="G451" s="16"/>
      <c r="H451" s="16"/>
      <c r="I451" s="11"/>
      <c r="J451" s="16"/>
      <c r="K451" s="16"/>
      <c r="L451" s="16">
        <v>1</v>
      </c>
      <c r="M451" s="11"/>
      <c r="N451" s="16"/>
      <c r="O451" s="11"/>
      <c r="P451" s="23"/>
      <c r="Q451" s="16"/>
    </row>
    <row r="452" spans="2:18" ht="26.4" x14ac:dyDescent="0.25">
      <c r="B452" s="57" t="s">
        <v>111</v>
      </c>
      <c r="C452" s="61"/>
      <c r="D452" s="63"/>
      <c r="E452" s="35">
        <v>4</v>
      </c>
      <c r="F452" s="11">
        <v>1</v>
      </c>
      <c r="G452" s="16"/>
      <c r="H452" s="16"/>
      <c r="I452" s="11"/>
      <c r="J452" s="16"/>
      <c r="K452" s="16"/>
      <c r="L452" s="16">
        <v>1</v>
      </c>
      <c r="M452" s="11"/>
      <c r="N452" s="16"/>
      <c r="O452" s="11"/>
      <c r="P452" s="23"/>
      <c r="Q452" s="16"/>
    </row>
    <row r="453" spans="2:18" s="4" customFormat="1" ht="27" thickBot="1" x14ac:dyDescent="0.3">
      <c r="B453" s="58" t="s">
        <v>111</v>
      </c>
      <c r="C453" s="62"/>
      <c r="D453" s="64"/>
      <c r="E453" s="36">
        <v>5</v>
      </c>
      <c r="F453" s="12">
        <v>1</v>
      </c>
      <c r="G453" s="13"/>
      <c r="H453" s="13"/>
      <c r="I453" s="12"/>
      <c r="J453" s="13"/>
      <c r="K453" s="13"/>
      <c r="L453" s="13">
        <v>1</v>
      </c>
      <c r="M453" s="12"/>
      <c r="N453" s="13"/>
      <c r="O453" s="12"/>
      <c r="P453" s="24"/>
      <c r="Q453" s="13"/>
      <c r="R453" s="22"/>
    </row>
    <row r="454" spans="2:18" x14ac:dyDescent="0.25">
      <c r="B454" s="56" t="s">
        <v>90</v>
      </c>
      <c r="C454" s="65" t="s">
        <v>105</v>
      </c>
      <c r="D454" s="63" t="s">
        <v>116</v>
      </c>
      <c r="E454" s="35">
        <v>1</v>
      </c>
      <c r="F454" s="11">
        <v>1</v>
      </c>
      <c r="G454" s="16"/>
      <c r="H454" s="16"/>
      <c r="I454" s="11">
        <v>1</v>
      </c>
      <c r="J454" s="16"/>
      <c r="K454" s="16"/>
      <c r="L454" s="16"/>
      <c r="M454" s="7">
        <f>MAX(COUNT(I454:I458)+COUNT(K454:K458),COUNT(J454:J458)+COUNT(L454:L458))</f>
        <v>3</v>
      </c>
      <c r="N454" s="3">
        <f>M454/5</f>
        <v>0.6</v>
      </c>
      <c r="O454" s="7">
        <f>SUM(I454:I458,K454:K458)</f>
        <v>2</v>
      </c>
      <c r="P454" s="18">
        <f>O454/5</f>
        <v>0.4</v>
      </c>
      <c r="Q454" s="16"/>
    </row>
    <row r="455" spans="2:18" x14ac:dyDescent="0.25">
      <c r="B455" s="57" t="s">
        <v>90</v>
      </c>
      <c r="C455" s="61"/>
      <c r="D455" s="63"/>
      <c r="E455" s="35">
        <v>2</v>
      </c>
      <c r="F455" s="11">
        <v>1</v>
      </c>
      <c r="G455" s="16"/>
      <c r="H455" s="16"/>
      <c r="I455" s="11"/>
      <c r="J455" s="16"/>
      <c r="K455" s="16">
        <v>1</v>
      </c>
      <c r="L455" s="16"/>
      <c r="M455" s="26"/>
      <c r="N455" s="27"/>
      <c r="O455" s="11"/>
      <c r="P455" s="23"/>
      <c r="Q455" s="27"/>
    </row>
    <row r="456" spans="2:18" x14ac:dyDescent="0.25">
      <c r="B456" s="57" t="s">
        <v>90</v>
      </c>
      <c r="C456" s="61"/>
      <c r="D456" s="63"/>
      <c r="E456" s="35">
        <v>3</v>
      </c>
      <c r="F456" s="11">
        <v>1</v>
      </c>
      <c r="G456" s="16"/>
      <c r="H456" s="16"/>
      <c r="I456" s="11"/>
      <c r="J456" s="16"/>
      <c r="K456" s="16"/>
      <c r="L456" s="16">
        <v>1</v>
      </c>
      <c r="M456" s="11"/>
      <c r="N456" s="16"/>
      <c r="O456" s="11"/>
      <c r="P456" s="23"/>
      <c r="Q456" s="16"/>
    </row>
    <row r="457" spans="2:18" x14ac:dyDescent="0.25">
      <c r="B457" s="57" t="s">
        <v>90</v>
      </c>
      <c r="C457" s="61"/>
      <c r="D457" s="63"/>
      <c r="E457" s="35">
        <v>4</v>
      </c>
      <c r="F457" s="11">
        <v>1</v>
      </c>
      <c r="G457" s="16"/>
      <c r="H457" s="16"/>
      <c r="I457" s="11"/>
      <c r="J457" s="16"/>
      <c r="K457" s="16"/>
      <c r="L457" s="16">
        <v>1</v>
      </c>
      <c r="M457" s="11"/>
      <c r="N457" s="16"/>
      <c r="O457" s="11"/>
      <c r="P457" s="23"/>
      <c r="Q457" s="16"/>
    </row>
    <row r="458" spans="2:18" s="4" customFormat="1" ht="13.8" thickBot="1" x14ac:dyDescent="0.3">
      <c r="B458" s="58" t="s">
        <v>90</v>
      </c>
      <c r="C458" s="62"/>
      <c r="D458" s="64"/>
      <c r="E458" s="36">
        <v>5</v>
      </c>
      <c r="F458" s="12">
        <v>1</v>
      </c>
      <c r="G458" s="13"/>
      <c r="H458" s="13"/>
      <c r="I458" s="12"/>
      <c r="J458" s="13"/>
      <c r="K458" s="13"/>
      <c r="L458" s="13">
        <v>1</v>
      </c>
      <c r="M458" s="12"/>
      <c r="N458" s="13"/>
      <c r="O458" s="12"/>
      <c r="P458" s="24"/>
      <c r="Q458" s="13"/>
      <c r="R458" s="22"/>
    </row>
    <row r="459" spans="2:18" x14ac:dyDescent="0.25">
      <c r="B459" s="56" t="s">
        <v>90</v>
      </c>
      <c r="C459" s="60" t="s">
        <v>106</v>
      </c>
      <c r="D459" s="63" t="s">
        <v>116</v>
      </c>
      <c r="E459" s="35">
        <v>1</v>
      </c>
      <c r="F459" s="11">
        <v>1</v>
      </c>
      <c r="G459" s="16"/>
      <c r="H459" s="16"/>
      <c r="I459" s="11"/>
      <c r="J459" s="16"/>
      <c r="K459" s="16"/>
      <c r="L459" s="16">
        <v>1</v>
      </c>
      <c r="M459" s="7">
        <f>MAX(COUNT(I459:I463)+COUNT(K459:K463),COUNT(J459:J463)+COUNT(L459:L463))</f>
        <v>5</v>
      </c>
      <c r="N459" s="3">
        <f>M459/5</f>
        <v>1</v>
      </c>
      <c r="O459" s="7">
        <f>SUM(I459:I463,K459:K463)</f>
        <v>0</v>
      </c>
      <c r="P459" s="18">
        <f>O459/5</f>
        <v>0</v>
      </c>
      <c r="Q459" s="27"/>
    </row>
    <row r="460" spans="2:18" x14ac:dyDescent="0.25">
      <c r="B460" s="57" t="s">
        <v>90</v>
      </c>
      <c r="C460" s="61"/>
      <c r="D460" s="63"/>
      <c r="E460" s="35">
        <v>2</v>
      </c>
      <c r="F460" s="11"/>
      <c r="G460" s="16">
        <v>1</v>
      </c>
      <c r="H460" s="16"/>
      <c r="I460" s="11"/>
      <c r="J460" s="16"/>
      <c r="K460" s="16"/>
      <c r="L460" s="16">
        <v>1</v>
      </c>
      <c r="M460" s="11"/>
      <c r="N460" s="16"/>
      <c r="O460" s="11"/>
      <c r="P460" s="23"/>
      <c r="Q460" s="16"/>
    </row>
    <row r="461" spans="2:18" x14ac:dyDescent="0.25">
      <c r="B461" s="57" t="s">
        <v>90</v>
      </c>
      <c r="C461" s="61"/>
      <c r="D461" s="63"/>
      <c r="E461" s="35">
        <v>3</v>
      </c>
      <c r="F461" s="11"/>
      <c r="G461" s="16">
        <v>1</v>
      </c>
      <c r="H461" s="16"/>
      <c r="I461" s="11"/>
      <c r="J461" s="16"/>
      <c r="K461" s="16"/>
      <c r="L461" s="16">
        <v>1</v>
      </c>
      <c r="M461" s="11"/>
      <c r="N461" s="16"/>
      <c r="O461" s="11"/>
      <c r="P461" s="23"/>
      <c r="Q461" s="16"/>
    </row>
    <row r="462" spans="2:18" x14ac:dyDescent="0.25">
      <c r="B462" s="57" t="s">
        <v>90</v>
      </c>
      <c r="C462" s="61"/>
      <c r="D462" s="63"/>
      <c r="E462" s="35">
        <v>4</v>
      </c>
      <c r="F462" s="11"/>
      <c r="G462" s="16">
        <v>1</v>
      </c>
      <c r="H462" s="16"/>
      <c r="I462" s="11"/>
      <c r="J462" s="16"/>
      <c r="K462" s="16"/>
      <c r="L462" s="16">
        <v>1</v>
      </c>
      <c r="M462" s="11"/>
      <c r="N462" s="16"/>
      <c r="O462" s="11"/>
      <c r="P462" s="23"/>
      <c r="Q462" s="16"/>
    </row>
    <row r="463" spans="2:18" s="4" customFormat="1" ht="13.8" thickBot="1" x14ac:dyDescent="0.3">
      <c r="B463" s="58" t="s">
        <v>90</v>
      </c>
      <c r="C463" s="62"/>
      <c r="D463" s="64"/>
      <c r="E463" s="36">
        <v>5</v>
      </c>
      <c r="F463" s="12">
        <v>1</v>
      </c>
      <c r="G463" s="13"/>
      <c r="H463" s="13"/>
      <c r="I463" s="12"/>
      <c r="J463" s="13"/>
      <c r="K463" s="13"/>
      <c r="L463" s="13">
        <v>1</v>
      </c>
      <c r="M463" s="12"/>
      <c r="N463" s="13"/>
      <c r="O463" s="12"/>
      <c r="P463" s="24"/>
      <c r="Q463" s="13"/>
      <c r="R463" s="22"/>
    </row>
    <row r="464" spans="2:18" x14ac:dyDescent="0.25">
      <c r="B464" s="56" t="s">
        <v>90</v>
      </c>
      <c r="C464" s="60" t="s">
        <v>107</v>
      </c>
      <c r="D464" s="63" t="s">
        <v>116</v>
      </c>
      <c r="E464" s="35">
        <v>1</v>
      </c>
      <c r="F464" s="11">
        <v>1</v>
      </c>
      <c r="G464" s="16"/>
      <c r="H464" s="16"/>
      <c r="I464" s="11"/>
      <c r="J464" s="16"/>
      <c r="K464" s="16"/>
      <c r="L464" s="16">
        <v>1</v>
      </c>
      <c r="M464" s="7">
        <f>MAX(COUNT(I464:I468)+COUNT(K464:K468),COUNT(J464:J468)+COUNT(L464:L468))</f>
        <v>5</v>
      </c>
      <c r="N464" s="3">
        <f>M464/5</f>
        <v>1</v>
      </c>
      <c r="O464" s="7">
        <f>SUM(I464:I468,K464:K468)</f>
        <v>0</v>
      </c>
      <c r="P464" s="18">
        <f>O464/5</f>
        <v>0</v>
      </c>
      <c r="Q464" s="27"/>
    </row>
    <row r="465" spans="2:18" x14ac:dyDescent="0.25">
      <c r="B465" s="57" t="s">
        <v>90</v>
      </c>
      <c r="C465" s="61"/>
      <c r="D465" s="63"/>
      <c r="E465" s="35">
        <v>2</v>
      </c>
      <c r="F465" s="11">
        <v>1</v>
      </c>
      <c r="G465" s="16"/>
      <c r="H465" s="16"/>
      <c r="I465" s="11"/>
      <c r="J465" s="16"/>
      <c r="K465" s="16"/>
      <c r="L465" s="16">
        <v>1</v>
      </c>
      <c r="M465" s="26"/>
      <c r="N465" s="27"/>
      <c r="O465" s="11"/>
      <c r="P465" s="23"/>
      <c r="Q465" s="27"/>
    </row>
    <row r="466" spans="2:18" x14ac:dyDescent="0.25">
      <c r="B466" s="57" t="s">
        <v>90</v>
      </c>
      <c r="C466" s="61"/>
      <c r="D466" s="63"/>
      <c r="E466" s="35">
        <v>3</v>
      </c>
      <c r="F466" s="11">
        <v>1</v>
      </c>
      <c r="G466" s="16"/>
      <c r="H466" s="16"/>
      <c r="I466" s="11"/>
      <c r="J466" s="16"/>
      <c r="K466" s="16"/>
      <c r="L466" s="16">
        <v>1</v>
      </c>
      <c r="M466" s="26"/>
      <c r="N466" s="27"/>
      <c r="O466" s="11"/>
      <c r="P466" s="23"/>
      <c r="Q466" s="27"/>
    </row>
    <row r="467" spans="2:18" x14ac:dyDescent="0.25">
      <c r="B467" s="57" t="s">
        <v>90</v>
      </c>
      <c r="C467" s="61"/>
      <c r="D467" s="63"/>
      <c r="E467" s="35">
        <v>4</v>
      </c>
      <c r="F467" s="11">
        <v>1</v>
      </c>
      <c r="G467" s="16"/>
      <c r="H467" s="16"/>
      <c r="I467" s="11"/>
      <c r="J467" s="16"/>
      <c r="K467" s="16"/>
      <c r="L467" s="16">
        <v>1</v>
      </c>
      <c r="M467" s="26"/>
      <c r="N467" s="27"/>
      <c r="O467" s="11"/>
      <c r="P467" s="23"/>
      <c r="Q467" s="27"/>
    </row>
    <row r="468" spans="2:18" s="4" customFormat="1" ht="13.8" thickBot="1" x14ac:dyDescent="0.3">
      <c r="B468" s="58" t="s">
        <v>90</v>
      </c>
      <c r="C468" s="62"/>
      <c r="D468" s="64"/>
      <c r="E468" s="36">
        <v>5</v>
      </c>
      <c r="F468" s="12">
        <v>1</v>
      </c>
      <c r="G468" s="13"/>
      <c r="H468" s="13"/>
      <c r="I468" s="12"/>
      <c r="J468" s="13"/>
      <c r="K468" s="13"/>
      <c r="L468" s="13">
        <v>1</v>
      </c>
      <c r="M468" s="28"/>
      <c r="N468" s="29"/>
      <c r="O468" s="12"/>
      <c r="P468" s="24"/>
      <c r="Q468" s="29"/>
      <c r="R468" s="22"/>
    </row>
    <row r="469" spans="2:18" x14ac:dyDescent="0.25">
      <c r="B469" s="56" t="s">
        <v>90</v>
      </c>
      <c r="C469" s="60" t="s">
        <v>108</v>
      </c>
      <c r="D469" s="63" t="s">
        <v>116</v>
      </c>
      <c r="E469" s="35">
        <v>1</v>
      </c>
      <c r="F469" s="11">
        <v>1</v>
      </c>
      <c r="G469" s="16"/>
      <c r="H469" s="16"/>
      <c r="I469" s="11"/>
      <c r="J469" s="16"/>
      <c r="K469" s="16"/>
      <c r="L469" s="16">
        <v>1</v>
      </c>
      <c r="M469" s="7">
        <f>MAX(COUNT(I469:I473)+COUNT(K469:K473),COUNT(J469:J473)+COUNT(L469:L473))</f>
        <v>4</v>
      </c>
      <c r="N469" s="3">
        <f>M469/5</f>
        <v>0.8</v>
      </c>
      <c r="O469" s="7">
        <f>SUM(I469:I473,K469:K473)</f>
        <v>1</v>
      </c>
      <c r="P469" s="18">
        <f>O469/5</f>
        <v>0.2</v>
      </c>
      <c r="Q469" s="27"/>
    </row>
    <row r="470" spans="2:18" x14ac:dyDescent="0.25">
      <c r="B470" s="57" t="s">
        <v>90</v>
      </c>
      <c r="C470" s="61"/>
      <c r="D470" s="63"/>
      <c r="E470" s="35">
        <v>2</v>
      </c>
      <c r="F470" s="11">
        <v>1</v>
      </c>
      <c r="G470" s="16"/>
      <c r="H470" s="16"/>
      <c r="I470" s="11"/>
      <c r="J470" s="16"/>
      <c r="K470" s="16"/>
      <c r="L470" s="16">
        <v>1</v>
      </c>
      <c r="M470" s="11"/>
      <c r="N470" s="16"/>
      <c r="O470" s="11"/>
      <c r="P470" s="23"/>
      <c r="Q470" s="16"/>
    </row>
    <row r="471" spans="2:18" x14ac:dyDescent="0.25">
      <c r="B471" s="57" t="s">
        <v>90</v>
      </c>
      <c r="C471" s="61"/>
      <c r="D471" s="63"/>
      <c r="E471" s="35">
        <v>3</v>
      </c>
      <c r="F471" s="11">
        <v>1</v>
      </c>
      <c r="G471" s="16"/>
      <c r="H471" s="16"/>
      <c r="I471" s="11"/>
      <c r="J471" s="16"/>
      <c r="K471" s="16">
        <v>1</v>
      </c>
      <c r="L471" s="16"/>
      <c r="M471" s="11"/>
      <c r="N471" s="16"/>
      <c r="O471" s="11"/>
      <c r="P471" s="23"/>
      <c r="Q471" s="16"/>
    </row>
    <row r="472" spans="2:18" x14ac:dyDescent="0.25">
      <c r="B472" s="57" t="s">
        <v>90</v>
      </c>
      <c r="C472" s="61"/>
      <c r="D472" s="63"/>
      <c r="E472" s="35">
        <v>4</v>
      </c>
      <c r="F472" s="11">
        <v>1</v>
      </c>
      <c r="G472" s="16"/>
      <c r="H472" s="16"/>
      <c r="I472" s="11"/>
      <c r="J472" s="16"/>
      <c r="K472" s="16"/>
      <c r="L472" s="16">
        <v>1</v>
      </c>
      <c r="M472" s="11"/>
      <c r="N472" s="16"/>
      <c r="O472" s="11"/>
      <c r="P472" s="23"/>
      <c r="Q472" s="16"/>
    </row>
    <row r="473" spans="2:18" s="4" customFormat="1" ht="13.8" thickBot="1" x14ac:dyDescent="0.3">
      <c r="B473" s="58" t="s">
        <v>90</v>
      </c>
      <c r="C473" s="62"/>
      <c r="D473" s="64"/>
      <c r="E473" s="36">
        <v>5</v>
      </c>
      <c r="F473" s="12">
        <v>1</v>
      </c>
      <c r="G473" s="13"/>
      <c r="H473" s="13"/>
      <c r="I473" s="12"/>
      <c r="J473" s="13"/>
      <c r="K473" s="13"/>
      <c r="L473" s="13">
        <v>1</v>
      </c>
      <c r="M473" s="12"/>
      <c r="N473" s="13"/>
      <c r="O473" s="12"/>
      <c r="P473" s="24"/>
      <c r="Q473" s="13"/>
      <c r="R473" s="22"/>
    </row>
    <row r="474" spans="2:18" x14ac:dyDescent="0.25">
      <c r="B474" s="56" t="s">
        <v>90</v>
      </c>
      <c r="C474" s="60" t="s">
        <v>109</v>
      </c>
      <c r="D474" s="63" t="s">
        <v>116</v>
      </c>
      <c r="E474" s="35">
        <v>1</v>
      </c>
      <c r="F474" s="11">
        <v>1</v>
      </c>
      <c r="G474" s="16"/>
      <c r="H474" s="16"/>
      <c r="I474" s="11"/>
      <c r="J474" s="16"/>
      <c r="K474" s="16"/>
      <c r="L474" s="16">
        <v>1</v>
      </c>
      <c r="M474" s="7">
        <f>MAX(COUNT(I474:I478)+COUNT(K474:K478),COUNT(J474:J478)+COUNT(L474:L478))</f>
        <v>5</v>
      </c>
      <c r="N474" s="3">
        <f>M474/5</f>
        <v>1</v>
      </c>
      <c r="O474" s="7">
        <f>SUM(I474:I478,K474:K478)</f>
        <v>0</v>
      </c>
      <c r="P474" s="18">
        <f>O474/5</f>
        <v>0</v>
      </c>
      <c r="Q474" s="27"/>
    </row>
    <row r="475" spans="2:18" x14ac:dyDescent="0.25">
      <c r="B475" s="57" t="s">
        <v>90</v>
      </c>
      <c r="C475" s="61"/>
      <c r="D475" s="63"/>
      <c r="E475" s="35">
        <v>2</v>
      </c>
      <c r="F475" s="11">
        <v>1</v>
      </c>
      <c r="G475" s="16"/>
      <c r="H475" s="16"/>
      <c r="I475" s="11"/>
      <c r="J475" s="16"/>
      <c r="K475" s="16"/>
      <c r="L475" s="16">
        <v>1</v>
      </c>
      <c r="M475" s="11"/>
      <c r="N475" s="16"/>
      <c r="O475" s="11"/>
      <c r="P475" s="23"/>
      <c r="Q475" s="16"/>
    </row>
    <row r="476" spans="2:18" x14ac:dyDescent="0.25">
      <c r="B476" s="57" t="s">
        <v>90</v>
      </c>
      <c r="C476" s="61"/>
      <c r="D476" s="63"/>
      <c r="E476" s="35">
        <v>3</v>
      </c>
      <c r="F476" s="11">
        <v>1</v>
      </c>
      <c r="G476" s="16"/>
      <c r="H476" s="16"/>
      <c r="I476" s="11"/>
      <c r="J476" s="16"/>
      <c r="K476" s="16"/>
      <c r="L476" s="16">
        <v>1</v>
      </c>
      <c r="M476" s="11"/>
      <c r="N476" s="16"/>
      <c r="O476" s="11"/>
      <c r="P476" s="23"/>
      <c r="Q476" s="16"/>
    </row>
    <row r="477" spans="2:18" x14ac:dyDescent="0.25">
      <c r="B477" s="57" t="s">
        <v>90</v>
      </c>
      <c r="C477" s="61"/>
      <c r="D477" s="63"/>
      <c r="E477" s="35">
        <v>4</v>
      </c>
      <c r="F477" s="11">
        <v>1</v>
      </c>
      <c r="G477" s="16"/>
      <c r="H477" s="16"/>
      <c r="I477" s="11"/>
      <c r="J477" s="16"/>
      <c r="K477" s="16"/>
      <c r="L477" s="16">
        <v>1</v>
      </c>
      <c r="M477" s="11"/>
      <c r="N477" s="16"/>
      <c r="O477" s="11"/>
      <c r="P477" s="23"/>
      <c r="Q477" s="16"/>
    </row>
    <row r="478" spans="2:18" s="4" customFormat="1" ht="13.8" thickBot="1" x14ac:dyDescent="0.3">
      <c r="B478" s="58" t="s">
        <v>90</v>
      </c>
      <c r="C478" s="62"/>
      <c r="D478" s="64"/>
      <c r="E478" s="36">
        <v>5</v>
      </c>
      <c r="F478" s="12">
        <v>1</v>
      </c>
      <c r="G478" s="13"/>
      <c r="H478" s="13"/>
      <c r="I478" s="12"/>
      <c r="J478" s="13"/>
      <c r="K478" s="13"/>
      <c r="L478" s="13">
        <v>1</v>
      </c>
      <c r="M478" s="12"/>
      <c r="N478" s="13"/>
      <c r="O478" s="12"/>
      <c r="P478" s="24"/>
      <c r="Q478" s="13"/>
      <c r="R478" s="22"/>
    </row>
    <row r="479" spans="2:18" x14ac:dyDescent="0.25">
      <c r="B479" s="56" t="s">
        <v>90</v>
      </c>
      <c r="C479" s="60" t="s">
        <v>110</v>
      </c>
      <c r="D479" s="63" t="s">
        <v>116</v>
      </c>
      <c r="E479" s="35">
        <v>1</v>
      </c>
      <c r="F479" s="11">
        <v>1</v>
      </c>
      <c r="G479" s="16"/>
      <c r="H479" s="16"/>
      <c r="I479" s="11"/>
      <c r="J479" s="16"/>
      <c r="K479" s="16"/>
      <c r="L479" s="16">
        <v>1</v>
      </c>
      <c r="M479" s="7">
        <f>MAX(COUNT(I479:I483)+COUNT(K479:K483),COUNT(J479:J483)+COUNT(L479:L483))</f>
        <v>5</v>
      </c>
      <c r="N479" s="3">
        <f>M479/5</f>
        <v>1</v>
      </c>
      <c r="O479" s="7">
        <f>SUM(I479:I483,K479:K483)</f>
        <v>0</v>
      </c>
      <c r="P479" s="18">
        <f>O479/5</f>
        <v>0</v>
      </c>
      <c r="Q479" s="16"/>
    </row>
    <row r="480" spans="2:18" x14ac:dyDescent="0.25">
      <c r="B480" s="57" t="s">
        <v>90</v>
      </c>
      <c r="C480" s="61"/>
      <c r="D480" s="63"/>
      <c r="E480" s="35">
        <v>2</v>
      </c>
      <c r="F480" s="11">
        <v>1</v>
      </c>
      <c r="G480" s="16"/>
      <c r="H480" s="16"/>
      <c r="I480" s="11"/>
      <c r="J480" s="16"/>
      <c r="K480" s="16"/>
      <c r="L480" s="16">
        <v>1</v>
      </c>
      <c r="M480" s="11"/>
      <c r="N480" s="16"/>
      <c r="O480" s="11"/>
      <c r="P480" s="23"/>
      <c r="Q480" s="16"/>
    </row>
    <row r="481" spans="2:18" x14ac:dyDescent="0.25">
      <c r="B481" s="57" t="s">
        <v>90</v>
      </c>
      <c r="C481" s="61"/>
      <c r="D481" s="63"/>
      <c r="E481" s="35">
        <v>3</v>
      </c>
      <c r="F481" s="11"/>
      <c r="G481" s="16">
        <v>1</v>
      </c>
      <c r="H481" s="16"/>
      <c r="I481" s="11"/>
      <c r="J481" s="16"/>
      <c r="K481" s="16"/>
      <c r="L481" s="16">
        <v>1</v>
      </c>
      <c r="M481" s="11"/>
      <c r="N481" s="16"/>
      <c r="O481" s="11"/>
      <c r="P481" s="23"/>
      <c r="Q481" s="16"/>
    </row>
    <row r="482" spans="2:18" x14ac:dyDescent="0.25">
      <c r="B482" s="57" t="s">
        <v>90</v>
      </c>
      <c r="C482" s="61"/>
      <c r="D482" s="63"/>
      <c r="E482" s="35">
        <v>4</v>
      </c>
      <c r="F482" s="11">
        <v>1</v>
      </c>
      <c r="G482" s="16"/>
      <c r="H482" s="16"/>
      <c r="I482" s="11"/>
      <c r="J482" s="16"/>
      <c r="K482" s="16"/>
      <c r="L482" s="16">
        <v>1</v>
      </c>
      <c r="M482" s="11"/>
      <c r="N482" s="16"/>
      <c r="O482" s="11"/>
      <c r="P482" s="23"/>
      <c r="Q482" s="16"/>
    </row>
    <row r="483" spans="2:18" s="4" customFormat="1" ht="13.8" thickBot="1" x14ac:dyDescent="0.3">
      <c r="B483" s="58" t="s">
        <v>90</v>
      </c>
      <c r="C483" s="62"/>
      <c r="D483" s="64"/>
      <c r="E483" s="36">
        <v>5</v>
      </c>
      <c r="F483" s="12">
        <v>1</v>
      </c>
      <c r="G483" s="13"/>
      <c r="H483" s="13"/>
      <c r="I483" s="12"/>
      <c r="J483" s="13"/>
      <c r="K483" s="13"/>
      <c r="L483" s="13">
        <v>1</v>
      </c>
      <c r="M483" s="12"/>
      <c r="N483" s="13"/>
      <c r="O483" s="12"/>
      <c r="P483" s="24"/>
      <c r="Q483" s="13"/>
      <c r="R483" s="22"/>
    </row>
    <row r="484" spans="2:18" ht="69.599999999999994" customHeight="1" thickBot="1" x14ac:dyDescent="0.3">
      <c r="F484" s="50">
        <f t="shared" ref="F484:L484" si="0">COUNT(F3:F483)</f>
        <v>470</v>
      </c>
      <c r="G484" s="39">
        <f t="shared" si="0"/>
        <v>10</v>
      </c>
      <c r="H484" s="38">
        <f t="shared" si="0"/>
        <v>0</v>
      </c>
      <c r="I484" s="3">
        <f t="shared" si="0"/>
        <v>152</v>
      </c>
      <c r="J484" s="3">
        <f t="shared" si="0"/>
        <v>0</v>
      </c>
      <c r="K484" s="3">
        <f t="shared" si="0"/>
        <v>29</v>
      </c>
      <c r="L484" s="3">
        <f t="shared" si="0"/>
        <v>299</v>
      </c>
      <c r="M484" s="99"/>
      <c r="N484" s="100"/>
      <c r="O484" s="73"/>
      <c r="P484" s="74"/>
      <c r="Q484" s="73"/>
      <c r="R484" s="74"/>
    </row>
    <row r="485" spans="2:18" ht="40.200000000000003" customHeight="1" thickBot="1" x14ac:dyDescent="0.3">
      <c r="F485" s="76" t="s">
        <v>130</v>
      </c>
      <c r="G485" s="77"/>
      <c r="H485" s="78"/>
      <c r="I485" s="76" t="s">
        <v>131</v>
      </c>
      <c r="J485" s="77"/>
      <c r="K485" s="77"/>
      <c r="L485" s="78"/>
      <c r="M485" s="49" t="s">
        <v>123</v>
      </c>
      <c r="N485" s="48">
        <f>SUM(N4:N483)/96</f>
        <v>0.94374999999999976</v>
      </c>
      <c r="O485" s="41" t="s">
        <v>124</v>
      </c>
      <c r="P485" s="48">
        <f>SUM(P5:P484)/COUNTIF(P5:P484, "&gt;0")</f>
        <v>0.81860465116279091</v>
      </c>
      <c r="Q485" s="41" t="s">
        <v>129</v>
      </c>
      <c r="R485" s="48" t="e">
        <f>(I485+K485)/I486</f>
        <v>#VALUE!</v>
      </c>
    </row>
    <row r="486" spans="2:18" ht="72.599999999999994" customHeight="1" thickBot="1" x14ac:dyDescent="0.3">
      <c r="F486" s="73"/>
      <c r="G486" s="75"/>
      <c r="H486" s="74"/>
      <c r="I486" s="3"/>
    </row>
    <row r="487" spans="2:18" x14ac:dyDescent="0.25">
      <c r="B487" s="59"/>
      <c r="D487" s="19"/>
      <c r="E487" s="37"/>
      <c r="F487" s="53"/>
      <c r="G487" s="54"/>
      <c r="H487" s="55"/>
      <c r="I487" s="21"/>
      <c r="J487" s="21"/>
      <c r="K487" s="21"/>
      <c r="L487" s="21"/>
    </row>
    <row r="488" spans="2:18" x14ac:dyDescent="0.25">
      <c r="F488" s="50"/>
      <c r="G488" s="39"/>
      <c r="H488" s="38"/>
    </row>
    <row r="489" spans="2:18" ht="13.8" thickBot="1" x14ac:dyDescent="0.3">
      <c r="F489" s="51">
        <f>F484/SUM($F$484:$H$484)</f>
        <v>0.97916666666666663</v>
      </c>
      <c r="G489" s="40">
        <f>G484/SUM($F$484:$H$484)</f>
        <v>2.0833333333333332E-2</v>
      </c>
      <c r="H489" s="52">
        <f>H484/SUM($F$484:$H$484)</f>
        <v>0</v>
      </c>
      <c r="I489" s="20"/>
      <c r="J489" s="21"/>
      <c r="K489" s="21"/>
      <c r="L489" s="21"/>
    </row>
    <row r="490" spans="2:18" ht="13.8" thickBot="1" x14ac:dyDescent="0.3"/>
    <row r="491" spans="2:18" x14ac:dyDescent="0.25">
      <c r="D491" s="82" t="s">
        <v>132</v>
      </c>
      <c r="E491" s="83"/>
      <c r="F491" s="83"/>
      <c r="G491" s="83"/>
      <c r="H491" s="83"/>
      <c r="I491" s="83"/>
      <c r="J491" s="83"/>
      <c r="K491" s="83"/>
      <c r="L491" s="84"/>
    </row>
    <row r="492" spans="2:18" ht="13.8" thickBot="1" x14ac:dyDescent="0.3">
      <c r="D492" s="85"/>
      <c r="E492" s="86"/>
      <c r="F492" s="86"/>
      <c r="G492" s="86"/>
      <c r="H492" s="86"/>
      <c r="I492" s="86"/>
      <c r="J492" s="86"/>
      <c r="K492" s="86"/>
      <c r="L492" s="87"/>
    </row>
    <row r="494" spans="2:18" x14ac:dyDescent="0.25">
      <c r="D494" s="10" t="s">
        <v>83</v>
      </c>
      <c r="I494" s="7">
        <f>SUMIF($B$4:$B$483,D494,$I$4:$I$483)</f>
        <v>25</v>
      </c>
      <c r="J494" s="3">
        <f>SUMIF($B$4:$B$483,$D$488,$J$4:$J$483)</f>
        <v>0</v>
      </c>
      <c r="K494" s="3">
        <f>SUMIF($B$4:$B$483,D494,$K$4:$K$483)</f>
        <v>0</v>
      </c>
      <c r="L494" s="3">
        <f>SUMIF($B$4:$B$483,D494,$L$4:$L$483)</f>
        <v>0</v>
      </c>
    </row>
    <row r="495" spans="2:18" x14ac:dyDescent="0.25">
      <c r="H495" s="3" t="s">
        <v>94</v>
      </c>
      <c r="I495" s="20">
        <f>100*I494/SUM(I494:L494)</f>
        <v>100</v>
      </c>
      <c r="J495" s="21">
        <f>100*J494/SUM(I494:L494)</f>
        <v>0</v>
      </c>
      <c r="K495" s="21">
        <f>100*K494/SUM(I494:L494)</f>
        <v>0</v>
      </c>
      <c r="L495" s="21">
        <f>100*L494/SUM(I494:L494)</f>
        <v>0</v>
      </c>
    </row>
    <row r="497" spans="4:12" x14ac:dyDescent="0.25">
      <c r="D497" s="10" t="s">
        <v>84</v>
      </c>
      <c r="I497" s="7">
        <f>SUMIF($B$4:$B$483,D497,$I$4:$I$483)</f>
        <v>22</v>
      </c>
      <c r="J497" s="3">
        <f>SUMIF($B$4:$B$483,D497,$J$4:$J$483)</f>
        <v>0</v>
      </c>
      <c r="K497" s="3">
        <f>SUMIF($B$4:$B$483,D497,$K$4:$K$483)</f>
        <v>5</v>
      </c>
      <c r="L497" s="3">
        <f>SUMIF($B$4:$B$483,D497,$L$4:$L$483)</f>
        <v>8</v>
      </c>
    </row>
    <row r="498" spans="4:12" x14ac:dyDescent="0.25">
      <c r="H498" s="3" t="s">
        <v>94</v>
      </c>
      <c r="I498" s="20">
        <f>100*I497/SUM(I497:L497)</f>
        <v>62.857142857142854</v>
      </c>
      <c r="J498" s="21">
        <f>100*J497/SUM(I497:L497)</f>
        <v>0</v>
      </c>
      <c r="K498" s="21">
        <f>100*K497/SUM(I497:L497)</f>
        <v>14.285714285714286</v>
      </c>
      <c r="L498" s="21">
        <f>100*L497/SUM(I497:L497)</f>
        <v>22.857142857142858</v>
      </c>
    </row>
    <row r="500" spans="4:12" x14ac:dyDescent="0.25">
      <c r="D500" s="10" t="s">
        <v>85</v>
      </c>
      <c r="I500" s="7">
        <f>SUMIF($B$4:$B$483,D500,$I$4:$I$483)</f>
        <v>27</v>
      </c>
      <c r="J500" s="3">
        <f>SUMIF($B$4:$B$483,D500,$J$4:$J$483)</f>
        <v>0</v>
      </c>
      <c r="K500" s="3">
        <f>SUMIF($B$4:$B$483,D500,$K$4:$K$483)</f>
        <v>8</v>
      </c>
      <c r="L500" s="3">
        <f>SUMIF($B$4:$B$483,D500,$L$4:$L$483)</f>
        <v>30</v>
      </c>
    </row>
    <row r="501" spans="4:12" x14ac:dyDescent="0.25">
      <c r="H501" s="3" t="s">
        <v>94</v>
      </c>
      <c r="I501" s="20">
        <f>100*I500/SUM(I500:L500)</f>
        <v>41.53846153846154</v>
      </c>
      <c r="J501" s="21">
        <f>100*J500/SUM(I500:L500)</f>
        <v>0</v>
      </c>
      <c r="K501" s="21">
        <f>100*K500/SUM(I500:L500)</f>
        <v>12.307692307692308</v>
      </c>
      <c r="L501" s="21">
        <f>100*L500/SUM(I500:L500)</f>
        <v>46.153846153846153</v>
      </c>
    </row>
    <row r="503" spans="4:12" x14ac:dyDescent="0.25">
      <c r="D503" s="10" t="s">
        <v>86</v>
      </c>
      <c r="I503" s="7">
        <f>SUMIF($B$4:$B$483,D503,$I$4:$I$483)</f>
        <v>6</v>
      </c>
      <c r="J503" s="3">
        <f>SUMIF($B$4:$B$483,D503,$J$4:$J$483)</f>
        <v>0</v>
      </c>
      <c r="K503" s="3">
        <f>SUMIF($B$4:$B$483,D503,$K$4:$K$483)</f>
        <v>10</v>
      </c>
      <c r="L503" s="3">
        <f>SUMIF($B$4:$B$483,D503,$L$4:$L$483)</f>
        <v>14</v>
      </c>
    </row>
    <row r="504" spans="4:12" x14ac:dyDescent="0.25">
      <c r="H504" s="3" t="s">
        <v>94</v>
      </c>
      <c r="I504" s="20">
        <f>100*I503/SUM(I503:L503)</f>
        <v>20</v>
      </c>
      <c r="J504" s="21">
        <f>100*J503/SUM(I503:L503)</f>
        <v>0</v>
      </c>
      <c r="K504" s="21">
        <f>100*K503/SUM(I503:L503)</f>
        <v>33.333333333333336</v>
      </c>
      <c r="L504" s="21">
        <f>100*L503/SUM(I503:L503)</f>
        <v>46.666666666666664</v>
      </c>
    </row>
    <row r="506" spans="4:12" x14ac:dyDescent="0.25">
      <c r="D506" s="10" t="s">
        <v>87</v>
      </c>
      <c r="I506" s="7">
        <f>SUMIF($B$4:$B$483,D506,$I$4:$I$483)</f>
        <v>10</v>
      </c>
      <c r="J506" s="3">
        <f>SUMIF($B$4:$B$483,D506,$J$4:$J$483)</f>
        <v>0</v>
      </c>
      <c r="K506" s="3">
        <f>SUMIF($B$4:$B$483,D506,$K$4:$K$483)</f>
        <v>0</v>
      </c>
      <c r="L506" s="3">
        <f>SUMIF($B$4:$B$483,D506,$L$4:$L$483)</f>
        <v>45</v>
      </c>
    </row>
    <row r="507" spans="4:12" x14ac:dyDescent="0.25">
      <c r="H507" s="3" t="s">
        <v>94</v>
      </c>
      <c r="I507" s="20">
        <f>100*I506/SUM(I506:L506)</f>
        <v>18.181818181818183</v>
      </c>
      <c r="J507" s="21">
        <f>100*J506/SUM(I506:L506)</f>
        <v>0</v>
      </c>
      <c r="K507" s="21">
        <f>100*K506/SUM(I506:L506)</f>
        <v>0</v>
      </c>
      <c r="L507" s="21">
        <f>100*L506/SUM(I506:L506)</f>
        <v>81.818181818181813</v>
      </c>
    </row>
    <row r="509" spans="4:12" x14ac:dyDescent="0.25">
      <c r="D509" s="10" t="s">
        <v>88</v>
      </c>
      <c r="I509" s="7">
        <f>SUMIF($B$4:$B$483,D509,$I$4:$I$483)</f>
        <v>5</v>
      </c>
      <c r="J509" s="3">
        <f>SUMIF($B$4:$B$483,D509,$J$4:$J$483)</f>
        <v>0</v>
      </c>
      <c r="K509" s="3">
        <f>SUMIF($B$4:$B$483,D509,$K$4:$K$483)</f>
        <v>0</v>
      </c>
      <c r="L509" s="3">
        <f>SUMIF($B$4:$B$483,D509,$L$4:$L$483)</f>
        <v>20</v>
      </c>
    </row>
    <row r="510" spans="4:12" x14ac:dyDescent="0.25">
      <c r="H510" s="3" t="s">
        <v>94</v>
      </c>
      <c r="I510" s="20">
        <f>100*I509/SUM(I509:L509)</f>
        <v>20</v>
      </c>
      <c r="J510" s="21">
        <f>100*J509/SUM(I509:L509)</f>
        <v>0</v>
      </c>
      <c r="K510" s="21">
        <f>100*K509/SUM(I509:L509)</f>
        <v>0</v>
      </c>
      <c r="L510" s="21">
        <f>100*L509/SUM(I509:L509)</f>
        <v>80</v>
      </c>
    </row>
    <row r="512" spans="4:12" x14ac:dyDescent="0.25">
      <c r="D512" s="10" t="s">
        <v>89</v>
      </c>
      <c r="I512" s="7">
        <f>SUMIF($B$4:$B$483,D512,$I$4:$I$483)</f>
        <v>14</v>
      </c>
      <c r="J512" s="3">
        <f>SUMIF($B$4:$B$483,D512,$J$4:$J$483)</f>
        <v>0</v>
      </c>
      <c r="K512" s="3">
        <f>SUMIF($B$4:$B$483,D512,$K$4:$K$483)</f>
        <v>0</v>
      </c>
      <c r="L512" s="3">
        <f>SUMIF($B$4:$B$483,D512,$L$4:$L$483)</f>
        <v>16</v>
      </c>
    </row>
    <row r="513" spans="4:12" x14ac:dyDescent="0.25">
      <c r="H513" s="3" t="s">
        <v>94</v>
      </c>
      <c r="I513" s="20">
        <f>100*I512/SUM(I512:L512)</f>
        <v>46.666666666666664</v>
      </c>
      <c r="J513" s="21">
        <f>100*J512/SUM(I512:L512)</f>
        <v>0</v>
      </c>
      <c r="K513" s="21">
        <f>100*K512/SUM(I512:L512)</f>
        <v>0</v>
      </c>
      <c r="L513" s="21">
        <f>100*L512/SUM(I512:L512)</f>
        <v>53.333333333333336</v>
      </c>
    </row>
    <row r="515" spans="4:12" x14ac:dyDescent="0.25">
      <c r="D515" s="10" t="s">
        <v>111</v>
      </c>
      <c r="I515" s="7">
        <f>SUMIF($B$4:$B$483,D515,$I$4:$I$483)</f>
        <v>5</v>
      </c>
      <c r="J515" s="3">
        <f>SUMIF($B$4:$B$483,D515,$J$4:$J$483)</f>
        <v>0</v>
      </c>
      <c r="K515" s="3">
        <f>SUMIF($B$4:$B$483,D515,$K$4:$K$483)</f>
        <v>0</v>
      </c>
      <c r="L515" s="3">
        <f>SUMIF($B$4:$B$483,D515,$L$4:$L$483)</f>
        <v>20</v>
      </c>
    </row>
    <row r="516" spans="4:12" x14ac:dyDescent="0.25">
      <c r="H516" s="3" t="s">
        <v>94</v>
      </c>
      <c r="I516" s="20">
        <f>100*I515/SUM(I515:L515)</f>
        <v>20</v>
      </c>
      <c r="J516" s="21">
        <f>100*J515/SUM(I515:L515)</f>
        <v>0</v>
      </c>
      <c r="K516" s="21">
        <f>100*K515/SUM(I515:L515)</f>
        <v>0</v>
      </c>
      <c r="L516" s="21">
        <f>100*L515/SUM(I515:L515)</f>
        <v>80</v>
      </c>
    </row>
    <row r="518" spans="4:12" x14ac:dyDescent="0.25">
      <c r="D518" s="10" t="s">
        <v>90</v>
      </c>
      <c r="I518" s="7">
        <f>SUMIF($B$4:$B$483,D518,$I$4:$I$483)</f>
        <v>1</v>
      </c>
      <c r="J518" s="3">
        <f>SUMIF($B$4:$B$483,D518,$J$4:$J$483)</f>
        <v>0</v>
      </c>
      <c r="K518" s="3">
        <f>SUMIF($B$4:$B$483,D518,$K$4:$K$483)</f>
        <v>2</v>
      </c>
      <c r="L518" s="3">
        <f>SUMIF($B$4:$B$483,D518,$L$4:$L$483)</f>
        <v>32</v>
      </c>
    </row>
    <row r="519" spans="4:12" x14ac:dyDescent="0.25">
      <c r="H519" s="3" t="s">
        <v>94</v>
      </c>
      <c r="I519" s="20">
        <f>100*I518/SUM(I518:L518)</f>
        <v>2.8571428571428572</v>
      </c>
      <c r="J519" s="21">
        <f>100*J518/SUM(I518:L518)</f>
        <v>0</v>
      </c>
      <c r="K519" s="21">
        <f>100*K518/SUM(I518:L518)</f>
        <v>5.7142857142857144</v>
      </c>
      <c r="L519" s="21">
        <f>100*L518/SUM(I518:L518)</f>
        <v>91.428571428571431</v>
      </c>
    </row>
    <row r="521" spans="4:12" x14ac:dyDescent="0.25">
      <c r="D521" s="10" t="s">
        <v>91</v>
      </c>
      <c r="I521" s="7">
        <f>SUMIF($B$4:$B$483,D521,$I$4:$I$483)</f>
        <v>0</v>
      </c>
      <c r="J521" s="3">
        <f>SUMIF($B$4:$B$483,D521,$J$4:$J$483)</f>
        <v>0</v>
      </c>
      <c r="K521" s="3">
        <f>SUMIF($B$4:$B$483,D521,$K$4:$K$483)</f>
        <v>0</v>
      </c>
      <c r="L521" s="3">
        <f>SUMIF($B$4:$B$483,D521,$L$4:$L$483)</f>
        <v>30</v>
      </c>
    </row>
    <row r="522" spans="4:12" x14ac:dyDescent="0.25">
      <c r="H522" s="3" t="s">
        <v>94</v>
      </c>
      <c r="I522" s="20">
        <f>100*I521/SUM(I521:L521)</f>
        <v>0</v>
      </c>
      <c r="J522" s="21">
        <f>100*J521/SUM(I521:L521)</f>
        <v>0</v>
      </c>
      <c r="K522" s="21">
        <f>100*K521/SUM(I521:L521)</f>
        <v>0</v>
      </c>
      <c r="L522" s="21">
        <f>100*L521/SUM(I521:L521)</f>
        <v>100</v>
      </c>
    </row>
    <row r="524" spans="4:12" x14ac:dyDescent="0.25">
      <c r="D524" s="10" t="s">
        <v>92</v>
      </c>
      <c r="I524" s="7">
        <f>SUMIF($B$4:$B$483,D524,$I$4:$I$483)</f>
        <v>15</v>
      </c>
      <c r="J524" s="3">
        <f>SUMIF($B$4:$B$483,D524,$J$4:$J$483)</f>
        <v>0</v>
      </c>
      <c r="K524" s="3">
        <f>SUMIF($B$4:$B$483,D524,$K$4:$K$483)</f>
        <v>0</v>
      </c>
      <c r="L524" s="3">
        <f>SUMIF($B$4:$B$483,D524,$L$4:$L$483)</f>
        <v>25</v>
      </c>
    </row>
    <row r="525" spans="4:12" x14ac:dyDescent="0.25">
      <c r="H525" s="3" t="s">
        <v>94</v>
      </c>
      <c r="I525" s="20">
        <f>100*I524/SUM(I524:L524)</f>
        <v>37.5</v>
      </c>
      <c r="J525" s="21">
        <f>100*J524/SUM(I524:L524)</f>
        <v>0</v>
      </c>
      <c r="K525" s="21">
        <f>100*K524/SUM(I524:L524)</f>
        <v>0</v>
      </c>
      <c r="L525" s="21">
        <f>100*L524/SUM(I524:L524)</f>
        <v>62.5</v>
      </c>
    </row>
    <row r="527" spans="4:12" x14ac:dyDescent="0.25">
      <c r="D527" s="10" t="s">
        <v>93</v>
      </c>
      <c r="I527" s="7">
        <f>SUMIF($B$4:$B$483,D527,$I$4:$I$483)</f>
        <v>17</v>
      </c>
      <c r="J527" s="3">
        <f>SUMIF($B$4:$B$483,D527,$J$4:$J$483)</f>
        <v>0</v>
      </c>
      <c r="K527" s="3">
        <f>SUMIF($B$4:$B$483,D527,$K$4:$K$483)</f>
        <v>0</v>
      </c>
      <c r="L527" s="3">
        <f>SUMIF($B$4:$B$483,D527,$L$4:$L$483)</f>
        <v>33</v>
      </c>
    </row>
    <row r="528" spans="4:12" x14ac:dyDescent="0.25">
      <c r="H528" s="3" t="s">
        <v>94</v>
      </c>
      <c r="I528" s="20">
        <f>100*I527/SUM(I527:L527)</f>
        <v>34</v>
      </c>
      <c r="J528" s="21">
        <f>100*J527/SUM(I527:L527)</f>
        <v>0</v>
      </c>
      <c r="K528" s="21">
        <f>100*K527/SUM(I527:L527)</f>
        <v>0</v>
      </c>
      <c r="L528" s="21">
        <f>100*L527/SUM(I527:L527)</f>
        <v>66</v>
      </c>
    </row>
    <row r="530" spans="4:12" x14ac:dyDescent="0.25">
      <c r="D530" s="10" t="s">
        <v>112</v>
      </c>
      <c r="I530" s="7">
        <f>SUMIF($B$4:$B$483,D530,$I$4:$I$483)</f>
        <v>5</v>
      </c>
      <c r="J530" s="3">
        <f>SUMIF($B$4:$B$483,D530,$J$4:$J$483)</f>
        <v>0</v>
      </c>
      <c r="K530" s="3">
        <f>SUMIF($B$4:$B$483,D530,$K$4:$K$483)</f>
        <v>4</v>
      </c>
      <c r="L530" s="3">
        <f>SUMIF($B$4:$B$483,D530,$L$4:$L$483)</f>
        <v>26</v>
      </c>
    </row>
    <row r="531" spans="4:12" x14ac:dyDescent="0.25">
      <c r="H531" s="3" t="s">
        <v>94</v>
      </c>
      <c r="I531" s="20">
        <f>100*I530/SUM(I530:L530)</f>
        <v>14.285714285714286</v>
      </c>
      <c r="J531" s="21">
        <f>100*J530/SUM(I530:L530)</f>
        <v>0</v>
      </c>
      <c r="K531" s="21">
        <f>100*K530/SUM(I530:L530)</f>
        <v>11.428571428571429</v>
      </c>
      <c r="L531" s="21">
        <f>100*L530/SUM(I530:L530)</f>
        <v>74.285714285714292</v>
      </c>
    </row>
  </sheetData>
  <autoFilter ref="F3:F527" xr:uid="{00000000-0001-0000-0100-000000000000}"/>
  <mergeCells count="208">
    <mergeCell ref="Q484:R484"/>
    <mergeCell ref="F486:H486"/>
    <mergeCell ref="I485:L485"/>
    <mergeCell ref="B1:P1"/>
    <mergeCell ref="D491:L492"/>
    <mergeCell ref="F485:H485"/>
    <mergeCell ref="I2:L2"/>
    <mergeCell ref="F2:H2"/>
    <mergeCell ref="B2:B3"/>
    <mergeCell ref="D2:D3"/>
    <mergeCell ref="C2:C3"/>
    <mergeCell ref="E2:E3"/>
    <mergeCell ref="M2:N2"/>
    <mergeCell ref="O2:P2"/>
    <mergeCell ref="M484:N484"/>
    <mergeCell ref="O484:P484"/>
    <mergeCell ref="C24:C28"/>
    <mergeCell ref="D24:D28"/>
    <mergeCell ref="C4:C8"/>
    <mergeCell ref="D4:D8"/>
    <mergeCell ref="D9:D13"/>
    <mergeCell ref="C9:C13"/>
    <mergeCell ref="C19:C23"/>
    <mergeCell ref="D19:D23"/>
    <mergeCell ref="C14:C18"/>
    <mergeCell ref="D14:D18"/>
    <mergeCell ref="D39:D43"/>
    <mergeCell ref="D44:D48"/>
    <mergeCell ref="D49:D53"/>
    <mergeCell ref="C34:C38"/>
    <mergeCell ref="D29:D33"/>
    <mergeCell ref="D34:D38"/>
    <mergeCell ref="C29:C33"/>
    <mergeCell ref="C49:C53"/>
    <mergeCell ref="C44:C48"/>
    <mergeCell ref="C39:C43"/>
    <mergeCell ref="D84:D88"/>
    <mergeCell ref="C94:C98"/>
    <mergeCell ref="C99:C103"/>
    <mergeCell ref="D99:D103"/>
    <mergeCell ref="D94:D98"/>
    <mergeCell ref="C84:C88"/>
    <mergeCell ref="C89:C93"/>
    <mergeCell ref="D89:D93"/>
    <mergeCell ref="C74:C78"/>
    <mergeCell ref="C79:C83"/>
    <mergeCell ref="D74:D78"/>
    <mergeCell ref="D79:D83"/>
    <mergeCell ref="C54:C58"/>
    <mergeCell ref="D54:D58"/>
    <mergeCell ref="C64:C68"/>
    <mergeCell ref="C69:C73"/>
    <mergeCell ref="D64:D68"/>
    <mergeCell ref="D69:D73"/>
    <mergeCell ref="C59:C63"/>
    <mergeCell ref="D59:D63"/>
    <mergeCell ref="C404:C408"/>
    <mergeCell ref="D404:D408"/>
    <mergeCell ref="D399:D403"/>
    <mergeCell ref="C399:C403"/>
    <mergeCell ref="D394:D398"/>
    <mergeCell ref="D389:D393"/>
    <mergeCell ref="D384:D388"/>
    <mergeCell ref="D379:D383"/>
    <mergeCell ref="D374:D378"/>
    <mergeCell ref="D369:D373"/>
    <mergeCell ref="D364:D368"/>
    <mergeCell ref="D359:D363"/>
    <mergeCell ref="D354:D358"/>
    <mergeCell ref="D349:D353"/>
    <mergeCell ref="D344:D348"/>
    <mergeCell ref="D339:D343"/>
    <mergeCell ref="D334:D338"/>
    <mergeCell ref="D329:D333"/>
    <mergeCell ref="D324:D328"/>
    <mergeCell ref="D319:D323"/>
    <mergeCell ref="D314:D318"/>
    <mergeCell ref="D304:D308"/>
    <mergeCell ref="D309:D313"/>
    <mergeCell ref="D289:D293"/>
    <mergeCell ref="D284:D288"/>
    <mergeCell ref="D279:D283"/>
    <mergeCell ref="C279:C283"/>
    <mergeCell ref="C284:C288"/>
    <mergeCell ref="C289:C293"/>
    <mergeCell ref="C294:C298"/>
    <mergeCell ref="C299:C303"/>
    <mergeCell ref="C304:C308"/>
    <mergeCell ref="D299:D303"/>
    <mergeCell ref="D294:D298"/>
    <mergeCell ref="C309:C313"/>
    <mergeCell ref="C314:C318"/>
    <mergeCell ref="C319:C323"/>
    <mergeCell ref="C324:C328"/>
    <mergeCell ref="C329:C333"/>
    <mergeCell ref="C334:C338"/>
    <mergeCell ref="C339:C343"/>
    <mergeCell ref="C344:C348"/>
    <mergeCell ref="C349:C353"/>
    <mergeCell ref="C354:C358"/>
    <mergeCell ref="C359:C363"/>
    <mergeCell ref="C364:C368"/>
    <mergeCell ref="C369:C373"/>
    <mergeCell ref="C374:C378"/>
    <mergeCell ref="C379:C383"/>
    <mergeCell ref="C384:C388"/>
    <mergeCell ref="C394:C398"/>
    <mergeCell ref="C389:C393"/>
    <mergeCell ref="D264:D268"/>
    <mergeCell ref="D269:D273"/>
    <mergeCell ref="D274:D278"/>
    <mergeCell ref="C274:C278"/>
    <mergeCell ref="C269:C273"/>
    <mergeCell ref="C264:C268"/>
    <mergeCell ref="C249:C253"/>
    <mergeCell ref="C254:C258"/>
    <mergeCell ref="C259:C263"/>
    <mergeCell ref="D259:D263"/>
    <mergeCell ref="D254:D258"/>
    <mergeCell ref="D249:D253"/>
    <mergeCell ref="D244:D248"/>
    <mergeCell ref="D239:D243"/>
    <mergeCell ref="C239:C243"/>
    <mergeCell ref="C244:C248"/>
    <mergeCell ref="D234:D238"/>
    <mergeCell ref="D229:D233"/>
    <mergeCell ref="D224:D228"/>
    <mergeCell ref="D104:D108"/>
    <mergeCell ref="D109:D113"/>
    <mergeCell ref="D114:D118"/>
    <mergeCell ref="D119:D123"/>
    <mergeCell ref="D124:D128"/>
    <mergeCell ref="D129:D133"/>
    <mergeCell ref="D134:D138"/>
    <mergeCell ref="D139:D143"/>
    <mergeCell ref="D144:D148"/>
    <mergeCell ref="D149:D153"/>
    <mergeCell ref="D154:D158"/>
    <mergeCell ref="D159:D163"/>
    <mergeCell ref="D164:D168"/>
    <mergeCell ref="D169:D173"/>
    <mergeCell ref="D174:D178"/>
    <mergeCell ref="D179:D183"/>
    <mergeCell ref="D184:D188"/>
    <mergeCell ref="D189:D193"/>
    <mergeCell ref="D194:D198"/>
    <mergeCell ref="D199:D203"/>
    <mergeCell ref="D204:D208"/>
    <mergeCell ref="D209:D213"/>
    <mergeCell ref="D214:D218"/>
    <mergeCell ref="D219:D223"/>
    <mergeCell ref="C104:C108"/>
    <mergeCell ref="C109:C113"/>
    <mergeCell ref="C114:C118"/>
    <mergeCell ref="C119:C123"/>
    <mergeCell ref="C124:C128"/>
    <mergeCell ref="C129:C133"/>
    <mergeCell ref="C134:C138"/>
    <mergeCell ref="C139:C143"/>
    <mergeCell ref="C144:C148"/>
    <mergeCell ref="C149:C153"/>
    <mergeCell ref="C154:C158"/>
    <mergeCell ref="C159:C163"/>
    <mergeCell ref="C164:C168"/>
    <mergeCell ref="C169:C173"/>
    <mergeCell ref="C174:C178"/>
    <mergeCell ref="C179:C183"/>
    <mergeCell ref="C184:C188"/>
    <mergeCell ref="C234:C238"/>
    <mergeCell ref="C189:C193"/>
    <mergeCell ref="C194:C198"/>
    <mergeCell ref="C199:C203"/>
    <mergeCell ref="C204:C208"/>
    <mergeCell ref="C209:C213"/>
    <mergeCell ref="C214:C218"/>
    <mergeCell ref="C219:C223"/>
    <mergeCell ref="C224:C228"/>
    <mergeCell ref="C229:C233"/>
    <mergeCell ref="C409:C413"/>
    <mergeCell ref="D409:D413"/>
    <mergeCell ref="C414:C418"/>
    <mergeCell ref="D414:D418"/>
    <mergeCell ref="C419:C423"/>
    <mergeCell ref="D419:D423"/>
    <mergeCell ref="C424:C428"/>
    <mergeCell ref="D424:D428"/>
    <mergeCell ref="C429:C433"/>
    <mergeCell ref="D429:D433"/>
    <mergeCell ref="C434:C438"/>
    <mergeCell ref="D434:D438"/>
    <mergeCell ref="C439:C443"/>
    <mergeCell ref="D439:D443"/>
    <mergeCell ref="C444:C448"/>
    <mergeCell ref="D444:D448"/>
    <mergeCell ref="C449:C453"/>
    <mergeCell ref="D449:D453"/>
    <mergeCell ref="C454:C458"/>
    <mergeCell ref="D454:D458"/>
    <mergeCell ref="C459:C463"/>
    <mergeCell ref="D459:D463"/>
    <mergeCell ref="C464:C468"/>
    <mergeCell ref="D464:D468"/>
    <mergeCell ref="C469:C473"/>
    <mergeCell ref="D469:D473"/>
    <mergeCell ref="C474:C478"/>
    <mergeCell ref="D474:D478"/>
    <mergeCell ref="C479:C483"/>
    <mergeCell ref="D479:D483"/>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CHAPTER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Ngo Dinh Nhan (SHC)</cp:lastModifiedBy>
  <dcterms:created xsi:type="dcterms:W3CDTF">2025-05-25T22:11:23Z</dcterms:created>
  <dcterms:modified xsi:type="dcterms:W3CDTF">2025-12-03T04:51:52Z</dcterms:modified>
</cp:coreProperties>
</file>